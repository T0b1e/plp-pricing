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CGJWD\pricing\"/>
    </mc:Choice>
  </mc:AlternateContent>
  <xr:revisionPtr revIDLastSave="0" documentId="8_{7258A41C-81D8-4524-85F9-860DD01985A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LL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2" i="1" l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<sst xmlns="http://schemas.openxmlformats.org/spreadsheetml/2006/main" count="552" uniqueCount="216">
  <si>
    <t>ลำดับ</t>
  </si>
  <si>
    <t>ทะเบียน</t>
  </si>
  <si>
    <t>พื้นที่</t>
  </si>
  <si>
    <t>70-2581</t>
  </si>
  <si>
    <t>10W</t>
  </si>
  <si>
    <t>PCS</t>
  </si>
  <si>
    <t>70-2582</t>
  </si>
  <si>
    <t>70-2576</t>
  </si>
  <si>
    <t>70-2878</t>
  </si>
  <si>
    <t>70-2906</t>
  </si>
  <si>
    <t>70-2982</t>
  </si>
  <si>
    <t>70-4653</t>
  </si>
  <si>
    <t>70-5673</t>
  </si>
  <si>
    <t>PACJ</t>
  </si>
  <si>
    <t>70-3133</t>
  </si>
  <si>
    <t>70-5575</t>
  </si>
  <si>
    <t>70-6993</t>
  </si>
  <si>
    <t>70-6994</t>
  </si>
  <si>
    <t>70-7295</t>
  </si>
  <si>
    <t>70-7296</t>
  </si>
  <si>
    <t>70-7703</t>
  </si>
  <si>
    <t>70-7704</t>
  </si>
  <si>
    <t>70-8332</t>
  </si>
  <si>
    <t>70-8334</t>
  </si>
  <si>
    <t>70-8779</t>
  </si>
  <si>
    <t>70-8780</t>
  </si>
  <si>
    <t>PACK</t>
  </si>
  <si>
    <t>71-0077</t>
  </si>
  <si>
    <t>71-0078</t>
  </si>
  <si>
    <t>71-0236</t>
  </si>
  <si>
    <t>71-0621</t>
  </si>
  <si>
    <t>71-0622</t>
  </si>
  <si>
    <t>PACS</t>
  </si>
  <si>
    <t>71-0900</t>
  </si>
  <si>
    <t>71-0901</t>
  </si>
  <si>
    <t>71-0902</t>
  </si>
  <si>
    <t>71-1425</t>
  </si>
  <si>
    <t>71-1426</t>
  </si>
  <si>
    <t>71-1427</t>
  </si>
  <si>
    <t>71-1462</t>
  </si>
  <si>
    <t>71-1463</t>
  </si>
  <si>
    <t>71-1464</t>
  </si>
  <si>
    <t>71-1465</t>
  </si>
  <si>
    <t>71-1537</t>
  </si>
  <si>
    <t>71-1538</t>
  </si>
  <si>
    <t>71-1582</t>
  </si>
  <si>
    <t>71-1949</t>
  </si>
  <si>
    <t>71-1950</t>
  </si>
  <si>
    <t>70-4289</t>
  </si>
  <si>
    <t>6W</t>
  </si>
  <si>
    <t>70-6356</t>
  </si>
  <si>
    <t>70-6390</t>
  </si>
  <si>
    <t>70-8333</t>
  </si>
  <si>
    <t>71-0237</t>
  </si>
  <si>
    <t>ถน-8888</t>
  </si>
  <si>
    <t>4W</t>
  </si>
  <si>
    <t>1ฒภ-305</t>
  </si>
  <si>
    <t>1ฒภ-306</t>
  </si>
  <si>
    <t>2ฒง-6932</t>
  </si>
  <si>
    <t>2ฒง-6987</t>
  </si>
  <si>
    <t>2ฒญ-4896</t>
  </si>
  <si>
    <t>2ฒญ-4897</t>
  </si>
  <si>
    <t>3ฒฐ-5512</t>
  </si>
  <si>
    <t>3ฒฐ-5514</t>
  </si>
  <si>
    <t>3ฒน-313</t>
  </si>
  <si>
    <t>3ฒน-304</t>
  </si>
  <si>
    <t>3ฒน-305</t>
  </si>
  <si>
    <t>4ฒข-8861</t>
  </si>
  <si>
    <t>4ฒข8857</t>
  </si>
  <si>
    <t>PACR</t>
  </si>
  <si>
    <t>วันที่จดทะเบียน</t>
  </si>
  <si>
    <t>อายุรถ</t>
  </si>
  <si>
    <t>ยี่ห้อรถ</t>
  </si>
  <si>
    <t>รุ่นรถ</t>
  </si>
  <si>
    <t>เชื้อเพลิง</t>
  </si>
  <si>
    <t>ยี่ห้อแอร์ตู้</t>
  </si>
  <si>
    <t>HINO</t>
  </si>
  <si>
    <t>Hi tech FL 260 PS</t>
  </si>
  <si>
    <t>Diesel</t>
  </si>
  <si>
    <t>RUJORAN</t>
  </si>
  <si>
    <t>TOYOTA</t>
  </si>
  <si>
    <t>ISUZU</t>
  </si>
  <si>
    <t>Vigo</t>
  </si>
  <si>
    <t>D-Max</t>
  </si>
  <si>
    <t>NGV</t>
  </si>
  <si>
    <t>Mega FL</t>
  </si>
  <si>
    <t>VICTOR 500</t>
  </si>
  <si>
    <t>NEO</t>
  </si>
  <si>
    <t>MITSU</t>
  </si>
  <si>
    <t>Carrier</t>
  </si>
  <si>
    <t>Mega FG</t>
  </si>
  <si>
    <t>Top Cold</t>
  </si>
  <si>
    <t>Denso</t>
  </si>
  <si>
    <t>ประเภทรถ</t>
  </si>
  <si>
    <r>
      <t>70-5842</t>
    </r>
    <r>
      <rPr>
        <u/>
        <sz val="11"/>
        <rFont val="Calibri"/>
        <family val="2"/>
      </rPr>
      <t xml:space="preserve"> </t>
    </r>
  </si>
  <si>
    <t>เลขตัวถังรถ</t>
  </si>
  <si>
    <t>MP1TFR87JMT034558</t>
  </si>
  <si>
    <t>เลขเครื่องยนต์</t>
  </si>
  <si>
    <t>RZ4EWE6351</t>
  </si>
  <si>
    <t>MP1TFR87JMT034574</t>
  </si>
  <si>
    <t>RZ4EWE6362</t>
  </si>
  <si>
    <t>MP1TFR87JHT012938</t>
  </si>
  <si>
    <t>RZ4EPW7809</t>
  </si>
  <si>
    <t>MP1TFR87JHT012944</t>
  </si>
  <si>
    <t>RZ4EPW7814</t>
  </si>
  <si>
    <t>MNKFL8JT1XHX15313</t>
  </si>
  <si>
    <t>J08EWHH61818</t>
  </si>
  <si>
    <t>MNKFL8JT1XHX15311</t>
  </si>
  <si>
    <t>J08EWHH61814</t>
  </si>
  <si>
    <t>J08EUEH22348</t>
  </si>
  <si>
    <t>MROCS12G800072623</t>
  </si>
  <si>
    <t>2KD-7734245</t>
  </si>
  <si>
    <t>MP1TFR87JHT034446</t>
  </si>
  <si>
    <t>RZ4ERK6375</t>
  </si>
  <si>
    <t>MP1TFR87JHT034442</t>
  </si>
  <si>
    <t>RZ4ERK6377</t>
  </si>
  <si>
    <t>MP1TFR87JNT009963</t>
  </si>
  <si>
    <t>RZ4EXD9973</t>
  </si>
  <si>
    <t>MP1TFR87JNT009962</t>
  </si>
  <si>
    <t>RZ4EXD9971</t>
  </si>
  <si>
    <t>MP1TFR87JNT009964</t>
  </si>
  <si>
    <t>RZ4EXD9972</t>
  </si>
  <si>
    <t>MNKFL8JT1XHX15417</t>
  </si>
  <si>
    <t>J08EWHH61996</t>
  </si>
  <si>
    <t>FL1JNNA-10031</t>
  </si>
  <si>
    <t>J08CTB17215</t>
  </si>
  <si>
    <t>FL1JNNA-10060</t>
  </si>
  <si>
    <t>J08CTS12432</t>
  </si>
  <si>
    <t>FL1JNRA-10261</t>
  </si>
  <si>
    <t>J08CTT17750</t>
  </si>
  <si>
    <t>FL1JNRA-10262</t>
  </si>
  <si>
    <t>J08CTT17752</t>
  </si>
  <si>
    <t>FL1JNRA-10374</t>
  </si>
  <si>
    <t>J08CTT19152</t>
  </si>
  <si>
    <t>FL1JTKA-12065</t>
  </si>
  <si>
    <t>J08CVD11759</t>
  </si>
  <si>
    <t>FL8JTKA-12783</t>
  </si>
  <si>
    <t>FL8JTKA-14232</t>
  </si>
  <si>
    <t>J08EUEH13467</t>
  </si>
  <si>
    <t>FL1JNPA-10110</t>
  </si>
  <si>
    <t>J08CTB13344</t>
  </si>
  <si>
    <t>FL1JTKA-12573</t>
  </si>
  <si>
    <t>J08CVDH10599</t>
  </si>
  <si>
    <t>J08EUEH22369</t>
  </si>
  <si>
    <t>FL8JTKA-14233</t>
  </si>
  <si>
    <t>MNKFL8JT1XHX10174</t>
  </si>
  <si>
    <t>J08EWHH50466</t>
  </si>
  <si>
    <t>MNKFL8JT1XHX10175</t>
  </si>
  <si>
    <t>J08EWHH50470</t>
  </si>
  <si>
    <t>MNKFL8JT1XHX10799</t>
  </si>
  <si>
    <t>J08EWHH52195</t>
  </si>
  <si>
    <t>MNKFL8JT1XHX10804</t>
  </si>
  <si>
    <t>J08EWHH52200</t>
  </si>
  <si>
    <t>MNKFL8JT1XHX11530</t>
  </si>
  <si>
    <t>J08EWHH53791</t>
  </si>
  <si>
    <t>MNKFG8JM1XHX10290</t>
  </si>
  <si>
    <t>J08EWJH53619</t>
  </si>
  <si>
    <t>MNKFL8JT1XHX11531</t>
  </si>
  <si>
    <t>J08EWHH53792</t>
  </si>
  <si>
    <t>MNKFL8JT1XHX11938</t>
  </si>
  <si>
    <t>J08EWHH54859</t>
  </si>
  <si>
    <t>MNKFL8JT1XHX11937</t>
  </si>
  <si>
    <t>J08EWHH54857</t>
  </si>
  <si>
    <t>MNKFL8JT1XHX13654</t>
  </si>
  <si>
    <t>J08EWHH58453</t>
  </si>
  <si>
    <t>MNKFL8JT1XHX13698</t>
  </si>
  <si>
    <t>J08EWHH58545</t>
  </si>
  <si>
    <t>MNKFL8JT1XHX14020</t>
  </si>
  <si>
    <t>J08EWHH59190</t>
  </si>
  <si>
    <t>MNKFL8JT1XHX14238</t>
  </si>
  <si>
    <t>J08EWHH59658</t>
  </si>
  <si>
    <t>MNKFL8JT1XHX14237</t>
  </si>
  <si>
    <t>J08EWHH59656</t>
  </si>
  <si>
    <t>MNKFL8JT1XHX14720</t>
  </si>
  <si>
    <t>J08EWHH60805</t>
  </si>
  <si>
    <t>MNKFL8JT1XHX14721</t>
  </si>
  <si>
    <t>J08EWHH60806</t>
  </si>
  <si>
    <t>MNKFL8JT1XHX14722</t>
  </si>
  <si>
    <t>J08EWHH60808</t>
  </si>
  <si>
    <t>MNKFL8JT1XHX15413</t>
  </si>
  <si>
    <t>MNKFL8JT1XHX15316</t>
  </si>
  <si>
    <t>J08EWHH61988</t>
  </si>
  <si>
    <t>J08EWHH61994</t>
  </si>
  <si>
    <t>MNKFL8JT1XHX15743</t>
  </si>
  <si>
    <t>J08EWHH62672</t>
  </si>
  <si>
    <t>MNKFL8JT1XHX15744</t>
  </si>
  <si>
    <t>J08EWHH62673</t>
  </si>
  <si>
    <t>MNKFG8JM1XHX10671</t>
  </si>
  <si>
    <t>J08EWJH63513</t>
  </si>
  <si>
    <t>FG1JJRA-10017</t>
  </si>
  <si>
    <t>J08CTS20350</t>
  </si>
  <si>
    <t>FL8JTKA-12934</t>
  </si>
  <si>
    <t>J08EUEH14482</t>
  </si>
  <si>
    <t>FL1JNPA-10886</t>
  </si>
  <si>
    <t>J08CTS14961</t>
  </si>
  <si>
    <t>J08EWHH61822</t>
  </si>
  <si>
    <t>MP1TFR87JRT010219</t>
  </si>
  <si>
    <t>RZ4EEWJ935</t>
  </si>
  <si>
    <t>MP1TFR87JRT010233</t>
  </si>
  <si>
    <t>RZ4EEWJ955</t>
  </si>
  <si>
    <t>MP1TFR86JFT028610</t>
  </si>
  <si>
    <t>4JK1NK5685</t>
  </si>
  <si>
    <t>MP1TFR86JFT028596</t>
  </si>
  <si>
    <t>4JK1NK5689</t>
  </si>
  <si>
    <t>MNKFL8JT1XHX15309</t>
  </si>
  <si>
    <t>J08EWHH61811</t>
  </si>
  <si>
    <t>FG8JMLA-13297</t>
  </si>
  <si>
    <t>J08EUEH18295</t>
  </si>
  <si>
    <t>MNKFL8JT1XHX15310</t>
  </si>
  <si>
    <t>J08EWHH61812</t>
  </si>
  <si>
    <t>MNKFL8JT1XHX15321</t>
  </si>
  <si>
    <t>J08EWHH61831</t>
  </si>
  <si>
    <t>MNKFL8JT1XHX15323</t>
  </si>
  <si>
    <t>J08EWHH61834</t>
  </si>
  <si>
    <t>FG8JMLA-13290</t>
  </si>
  <si>
    <t>J08EUEH18274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</si>
</sst>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7041E]d\ mmmm\ yyyy;@"/>
  </numFmts>
  <fonts count="11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scheme val="minor"/>
    </font>
    <font>
      <b/>
      <sz val="18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charset val="222"/>
      <scheme val="minor"/>
    </font>
    <font>
      <sz val="12"/>
      <color theme="1"/>
      <name val="Calibri"/>
      <family val="2"/>
    </font>
    <font>
      <sz val="11"/>
      <color indexed="8"/>
      <name val="Calibri"/>
      <family val="2"/>
    </font>
    <font>
      <sz val="12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21">
    <xf numFmtId="0" fontId="0" fillId="0" borderId="0" xfId="0"/>
    <xf numFmtId="0" fontId="5" fillId="0" borderId="6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64" fontId="6" fillId="0" borderId="7" xfId="1" applyNumberFormat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164" fontId="3" fillId="0" borderId="5" xfId="1" applyNumberFormat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9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4" fontId="3" fillId="0" borderId="5" xfId="2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164" fontId="3" fillId="0" borderId="11" xfId="1" applyNumberFormat="1" applyFont="1" applyBorder="1" applyAlignment="1">
      <alignment horizontal="center"/>
    </xf>
    <xf numFmtId="164" fontId="6" fillId="0" borderId="12" xfId="1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3">
    <cellStyle name="Normal 38" xfId="2" xr:uid="{00000000-0005-0000-0000-000001000000}"/>
    <cellStyle name="Normal 4 2" xfId="1" xr:uid="{00000000-0005-0000-0000-000002000000}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  <pageSetUpPr fitToPage="1"/>
  </sheetPr>
  <dimension ref="A1:L62"/>
  <sheetViews>
    <sheetView tabSelected="1" zoomScaleNormal="100" workbookViewId="0">
      <selection activeCell="B6" sqref="B6"/>
    </sheetView>
  </sheetViews>
  <sheetFormatPr defaultRowHeight="16.8" x14ac:dyDescent="0.4"/>
  <cols>
    <col min="1" max="2" width="12.5" customWidth="1"/>
    <col min="3" max="4" width="16.796875" customWidth="1"/>
    <col min="5" max="6" width="19.19921875" customWidth="1"/>
    <col min="7" max="10" width="13.3984375" customWidth="1"/>
    <col min="11" max="12" width="12.5" customWidth="1"/>
  </cols>
  <sheetData>
    <row r="1" spans="1:12" ht="24" thickBot="1" x14ac:dyDescent="0.4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7.399999999999999" thickBot="1" x14ac:dyDescent="0.45">
      <c r="A2" s="2" t="s">
        <v>0</v>
      </c>
      <c r="B2" s="2" t="s">
        <v>1</v>
      </c>
      <c r="C2" s="1" t="s">
        <v>70</v>
      </c>
      <c r="D2" s="1" t="s">
        <v>71</v>
      </c>
      <c r="E2" s="1" t="s">
        <v>95</v>
      </c>
      <c r="F2" s="1" t="s">
        <v>97</v>
      </c>
      <c r="G2" s="1" t="s">
        <v>72</v>
      </c>
      <c r="H2" s="1" t="s">
        <v>73</v>
      </c>
      <c r="I2" s="1" t="s">
        <v>74</v>
      </c>
      <c r="J2" s="1" t="s">
        <v>75</v>
      </c>
      <c r="K2" s="2" t="s">
        <v>93</v>
      </c>
      <c r="L2" s="2" t="s">
        <v>2</v>
      </c>
    </row>
    <row r="3" spans="1:12" ht="17.399999999999999" thickBot="1" x14ac:dyDescent="0.45">
      <c r="A3" s="5">
        <v>1</v>
      </c>
      <c r="B3" s="5" t="s">
        <v>3</v>
      </c>
      <c r="C3" s="6">
        <v>37357</v>
      </c>
      <c r="D3" s="3" t="str">
        <f ca="1">DATEDIF(C3,TODAY(),"Y")&amp;" ปี "&amp;DATEDIF(C3,TODAY(),"YM")&amp;" เดือน "&amp;DATEDIF(C3,TODAY(),"MD")+1&amp;" วัน"</f>
        <v>24 ปี 5 เดือน 16 วัน</v>
      </c>
      <c r="E3" s="7" t="s">
        <v>124</v>
      </c>
      <c r="F3" s="7" t="s">
        <v>125</v>
      </c>
      <c r="G3" s="7" t="s">
        <v>76</v>
      </c>
      <c r="H3" s="7" t="s">
        <v>77</v>
      </c>
      <c r="I3" s="7" t="s">
        <v>78</v>
      </c>
      <c r="J3" s="8" t="s">
        <v>79</v>
      </c>
      <c r="K3" s="5" t="s">
        <v>4</v>
      </c>
      <c r="L3" s="5" t="s">
        <v>5</v>
      </c>
    </row>
    <row r="4" spans="1:12" x14ac:dyDescent="0.4">
      <c r="A4" s="4">
        <v>2</v>
      </c>
      <c r="B4" s="4" t="s">
        <v>6</v>
      </c>
      <c r="C4" s="6">
        <v>37477</v>
      </c>
      <c r="D4" s="3" t="str">
        <f t="shared" ref="D4:D62" ca="1" si="0">DATEDIF(C4,TODAY(),"Y")&amp;" ปี "&amp;DATEDIF(C4,TODAY(),"YM")&amp;" เดือน "&amp;DATEDIF(C4,TODAY(),"MD")+1&amp;" วัน"</f>
        <v>24 ปี 1 เดือน 18 วัน</v>
      </c>
      <c r="E4" s="7" t="s">
        <v>126</v>
      </c>
      <c r="F4" s="7" t="s">
        <v>127</v>
      </c>
      <c r="G4" s="7" t="s">
        <v>76</v>
      </c>
      <c r="H4" s="7" t="s">
        <v>77</v>
      </c>
      <c r="I4" s="7" t="s">
        <v>78</v>
      </c>
      <c r="J4" s="8" t="s">
        <v>79</v>
      </c>
      <c r="K4" s="4" t="s">
        <v>4</v>
      </c>
      <c r="L4" s="4" t="s">
        <v>5</v>
      </c>
    </row>
    <row r="5" spans="1:12" x14ac:dyDescent="0.4">
      <c r="A5" s="5">
        <v>3</v>
      </c>
      <c r="B5" s="4" t="s">
        <v>7</v>
      </c>
      <c r="C5" s="6">
        <v>38268</v>
      </c>
      <c r="D5" s="3" t="str">
        <f t="shared" ca="1" si="0"/>
        <v>21 ปี 11 เดือน 19 วัน</v>
      </c>
      <c r="E5" s="9" t="s">
        <v>193</v>
      </c>
      <c r="F5" s="9" t="s">
        <v>194</v>
      </c>
      <c r="G5" s="9" t="s">
        <v>76</v>
      </c>
      <c r="H5" s="10" t="s">
        <v>85</v>
      </c>
      <c r="I5" s="10" t="s">
        <v>84</v>
      </c>
      <c r="J5" s="11" t="s">
        <v>79</v>
      </c>
      <c r="K5" s="4" t="s">
        <v>4</v>
      </c>
      <c r="L5" s="4" t="s">
        <v>5</v>
      </c>
    </row>
    <row r="6" spans="1:12" x14ac:dyDescent="0.4">
      <c r="A6" s="5">
        <v>4</v>
      </c>
      <c r="B6" s="4" t="s">
        <v>8</v>
      </c>
      <c r="C6" s="6">
        <v>38387</v>
      </c>
      <c r="D6" s="3" t="str">
        <f t="shared" ca="1" si="0"/>
        <v>21 ปี 7 เดือน 23 วัน</v>
      </c>
      <c r="E6" s="9" t="s">
        <v>128</v>
      </c>
      <c r="F6" s="9" t="s">
        <v>129</v>
      </c>
      <c r="G6" s="9" t="s">
        <v>76</v>
      </c>
      <c r="H6" s="10" t="s">
        <v>85</v>
      </c>
      <c r="I6" s="12" t="s">
        <v>78</v>
      </c>
      <c r="J6" s="11" t="s">
        <v>79</v>
      </c>
      <c r="K6" s="4" t="s">
        <v>4</v>
      </c>
      <c r="L6" s="4" t="s">
        <v>5</v>
      </c>
    </row>
    <row r="7" spans="1:12" x14ac:dyDescent="0.4">
      <c r="A7" s="4">
        <v>5</v>
      </c>
      <c r="B7" s="4" t="s">
        <v>9</v>
      </c>
      <c r="C7" s="6">
        <v>38397</v>
      </c>
      <c r="D7" s="3" t="str">
        <f t="shared" ca="1" si="0"/>
        <v>21 ปี 7 เดือน 13 วัน</v>
      </c>
      <c r="E7" s="9" t="s">
        <v>130</v>
      </c>
      <c r="F7" s="9" t="s">
        <v>131</v>
      </c>
      <c r="G7" s="9" t="s">
        <v>76</v>
      </c>
      <c r="H7" s="10" t="s">
        <v>85</v>
      </c>
      <c r="I7" s="12" t="s">
        <v>78</v>
      </c>
      <c r="J7" s="11" t="s">
        <v>79</v>
      </c>
      <c r="K7" s="4" t="s">
        <v>4</v>
      </c>
      <c r="L7" s="4" t="s">
        <v>5</v>
      </c>
    </row>
    <row r="8" spans="1:12" x14ac:dyDescent="0.4">
      <c r="A8" s="5">
        <v>6</v>
      </c>
      <c r="B8" s="4" t="s">
        <v>10</v>
      </c>
      <c r="C8" s="6">
        <v>38460</v>
      </c>
      <c r="D8" s="3" t="str">
        <f t="shared" ca="1" si="0"/>
        <v>21 ปี 5 เดือน 9 วัน</v>
      </c>
      <c r="E8" s="9" t="s">
        <v>132</v>
      </c>
      <c r="F8" s="9" t="s">
        <v>133</v>
      </c>
      <c r="G8" s="9" t="s">
        <v>76</v>
      </c>
      <c r="H8" s="10" t="s">
        <v>85</v>
      </c>
      <c r="I8" s="12" t="s">
        <v>78</v>
      </c>
      <c r="J8" s="11" t="s">
        <v>79</v>
      </c>
      <c r="K8" s="4" t="s">
        <v>4</v>
      </c>
      <c r="L8" s="4" t="s">
        <v>5</v>
      </c>
    </row>
    <row r="9" spans="1:12" x14ac:dyDescent="0.4">
      <c r="A9" s="5">
        <v>7</v>
      </c>
      <c r="B9" s="4" t="s">
        <v>11</v>
      </c>
      <c r="C9" s="6">
        <v>40360</v>
      </c>
      <c r="D9" s="3" t="str">
        <f t="shared" ca="1" si="0"/>
        <v>16 ปี 2 เดือน 26 วัน</v>
      </c>
      <c r="E9" s="9" t="s">
        <v>134</v>
      </c>
      <c r="F9" s="9" t="s">
        <v>135</v>
      </c>
      <c r="G9" s="9" t="s">
        <v>76</v>
      </c>
      <c r="H9" s="10" t="s">
        <v>85</v>
      </c>
      <c r="I9" s="10" t="s">
        <v>84</v>
      </c>
      <c r="J9" s="11" t="s">
        <v>79</v>
      </c>
      <c r="K9" s="4" t="s">
        <v>4</v>
      </c>
      <c r="L9" s="4" t="s">
        <v>5</v>
      </c>
    </row>
    <row r="10" spans="1:12" x14ac:dyDescent="0.4">
      <c r="A10" s="4">
        <v>8</v>
      </c>
      <c r="B10" s="4" t="s">
        <v>12</v>
      </c>
      <c r="C10" s="6">
        <v>41115</v>
      </c>
      <c r="D10" s="3" t="str">
        <f t="shared" ca="1" si="0"/>
        <v>14 ปี 2 เดือน 2 วัน</v>
      </c>
      <c r="E10" s="9" t="s">
        <v>136</v>
      </c>
      <c r="F10" s="9" t="s">
        <v>138</v>
      </c>
      <c r="G10" s="9" t="s">
        <v>76</v>
      </c>
      <c r="H10" s="10" t="s">
        <v>85</v>
      </c>
      <c r="I10" s="12" t="s">
        <v>78</v>
      </c>
      <c r="J10" s="11" t="s">
        <v>79</v>
      </c>
      <c r="K10" s="4" t="s">
        <v>4</v>
      </c>
      <c r="L10" s="4" t="s">
        <v>13</v>
      </c>
    </row>
    <row r="11" spans="1:12" x14ac:dyDescent="0.4">
      <c r="A11" s="5">
        <v>9</v>
      </c>
      <c r="B11" s="4" t="s">
        <v>94</v>
      </c>
      <c r="C11" s="6">
        <v>41240</v>
      </c>
      <c r="D11" s="3" t="str">
        <f t="shared" ca="1" si="0"/>
        <v>13 ปี 9 เดือน 31 วัน</v>
      </c>
      <c r="E11" s="9" t="s">
        <v>191</v>
      </c>
      <c r="F11" s="9" t="s">
        <v>192</v>
      </c>
      <c r="G11" s="9" t="s">
        <v>76</v>
      </c>
      <c r="H11" s="10" t="s">
        <v>85</v>
      </c>
      <c r="I11" s="12" t="s">
        <v>78</v>
      </c>
      <c r="J11" s="11" t="s">
        <v>79</v>
      </c>
      <c r="K11" s="4" t="s">
        <v>4</v>
      </c>
      <c r="L11" s="4" t="s">
        <v>5</v>
      </c>
    </row>
    <row r="12" spans="1:12" x14ac:dyDescent="0.4">
      <c r="A12" s="5">
        <v>10</v>
      </c>
      <c r="B12" s="4" t="s">
        <v>14</v>
      </c>
      <c r="C12" s="6">
        <v>37826</v>
      </c>
      <c r="D12" s="3" t="str">
        <f t="shared" ca="1" si="0"/>
        <v>23 ปี 2 เดือน 3 วัน</v>
      </c>
      <c r="E12" s="9" t="s">
        <v>139</v>
      </c>
      <c r="F12" s="9" t="s">
        <v>140</v>
      </c>
      <c r="G12" s="9" t="s">
        <v>76</v>
      </c>
      <c r="H12" s="10" t="s">
        <v>85</v>
      </c>
      <c r="I12" s="12" t="s">
        <v>78</v>
      </c>
      <c r="J12" s="11" t="s">
        <v>79</v>
      </c>
      <c r="K12" s="4" t="s">
        <v>4</v>
      </c>
      <c r="L12" s="4" t="s">
        <v>5</v>
      </c>
    </row>
    <row r="13" spans="1:12" x14ac:dyDescent="0.4">
      <c r="A13" s="4">
        <v>11</v>
      </c>
      <c r="B13" s="4" t="s">
        <v>15</v>
      </c>
      <c r="C13" s="6">
        <v>41054</v>
      </c>
      <c r="D13" s="3" t="str">
        <f t="shared" ca="1" si="0"/>
        <v>14 ปี 4 เดือน 2 วัน</v>
      </c>
      <c r="E13" s="9" t="s">
        <v>141</v>
      </c>
      <c r="F13" s="9" t="s">
        <v>142</v>
      </c>
      <c r="G13" s="9" t="s">
        <v>76</v>
      </c>
      <c r="H13" s="10" t="s">
        <v>85</v>
      </c>
      <c r="I13" s="10" t="s">
        <v>84</v>
      </c>
      <c r="J13" s="11" t="s">
        <v>79</v>
      </c>
      <c r="K13" s="4" t="s">
        <v>4</v>
      </c>
      <c r="L13" s="4" t="s">
        <v>5</v>
      </c>
    </row>
    <row r="14" spans="1:12" x14ac:dyDescent="0.4">
      <c r="A14" s="5">
        <v>12</v>
      </c>
      <c r="B14" s="4" t="s">
        <v>16</v>
      </c>
      <c r="C14" s="6">
        <v>42153</v>
      </c>
      <c r="D14" s="3" t="str">
        <f t="shared" ca="1" si="0"/>
        <v>11 ปี 3 เดือน 29 วัน</v>
      </c>
      <c r="E14" s="9" t="s">
        <v>144</v>
      </c>
      <c r="F14" s="9" t="s">
        <v>143</v>
      </c>
      <c r="G14" s="9" t="s">
        <v>76</v>
      </c>
      <c r="H14" s="10" t="s">
        <v>85</v>
      </c>
      <c r="I14" s="7" t="s">
        <v>78</v>
      </c>
      <c r="J14" s="11" t="s">
        <v>79</v>
      </c>
      <c r="K14" s="4" t="s">
        <v>4</v>
      </c>
      <c r="L14" s="4" t="s">
        <v>13</v>
      </c>
    </row>
    <row r="15" spans="1:12" x14ac:dyDescent="0.4">
      <c r="A15" s="5">
        <v>13</v>
      </c>
      <c r="B15" s="4" t="s">
        <v>17</v>
      </c>
      <c r="C15" s="6">
        <v>42153</v>
      </c>
      <c r="D15" s="3" t="str">
        <f t="shared" ca="1" si="0"/>
        <v>11 ปี 3 เดือน 29 วัน</v>
      </c>
      <c r="E15" s="9" t="s">
        <v>137</v>
      </c>
      <c r="F15" s="9" t="s">
        <v>109</v>
      </c>
      <c r="G15" s="9" t="s">
        <v>76</v>
      </c>
      <c r="H15" s="10" t="s">
        <v>85</v>
      </c>
      <c r="I15" s="7" t="s">
        <v>78</v>
      </c>
      <c r="J15" s="11" t="s">
        <v>79</v>
      </c>
      <c r="K15" s="4" t="s">
        <v>4</v>
      </c>
      <c r="L15" s="4" t="s">
        <v>13</v>
      </c>
    </row>
    <row r="16" spans="1:12" x14ac:dyDescent="0.4">
      <c r="A16" s="4">
        <v>14</v>
      </c>
      <c r="B16" s="4" t="s">
        <v>18</v>
      </c>
      <c r="C16" s="6">
        <v>42401</v>
      </c>
      <c r="D16" s="3" t="str">
        <f t="shared" ca="1" si="0"/>
        <v>10 ปี 7 เดือน 26 วัน</v>
      </c>
      <c r="E16" s="9" t="s">
        <v>145</v>
      </c>
      <c r="F16" s="9" t="s">
        <v>146</v>
      </c>
      <c r="G16" s="9" t="s">
        <v>76</v>
      </c>
      <c r="H16" s="10" t="s">
        <v>86</v>
      </c>
      <c r="I16" s="7" t="s">
        <v>78</v>
      </c>
      <c r="J16" s="11" t="s">
        <v>79</v>
      </c>
      <c r="K16" s="4" t="s">
        <v>4</v>
      </c>
      <c r="L16" s="4" t="s">
        <v>5</v>
      </c>
    </row>
    <row r="17" spans="1:12" x14ac:dyDescent="0.4">
      <c r="A17" s="5">
        <v>15</v>
      </c>
      <c r="B17" s="4" t="s">
        <v>19</v>
      </c>
      <c r="C17" s="6">
        <v>42401</v>
      </c>
      <c r="D17" s="3" t="str">
        <f t="shared" ca="1" si="0"/>
        <v>10 ปี 7 เดือน 26 วัน</v>
      </c>
      <c r="E17" s="9" t="s">
        <v>147</v>
      </c>
      <c r="F17" s="9" t="s">
        <v>148</v>
      </c>
      <c r="G17" s="9" t="s">
        <v>76</v>
      </c>
      <c r="H17" s="10" t="s">
        <v>86</v>
      </c>
      <c r="I17" s="7" t="s">
        <v>78</v>
      </c>
      <c r="J17" s="11" t="s">
        <v>79</v>
      </c>
      <c r="K17" s="4" t="s">
        <v>4</v>
      </c>
      <c r="L17" s="4" t="s">
        <v>5</v>
      </c>
    </row>
    <row r="18" spans="1:12" x14ac:dyDescent="0.4">
      <c r="A18" s="5">
        <v>16</v>
      </c>
      <c r="B18" s="4" t="s">
        <v>20</v>
      </c>
      <c r="C18" s="6">
        <v>42807</v>
      </c>
      <c r="D18" s="3" t="str">
        <f t="shared" ca="1" si="0"/>
        <v>9 ปี 6 เดือน 14 วัน</v>
      </c>
      <c r="E18" s="9" t="s">
        <v>149</v>
      </c>
      <c r="F18" s="9" t="s">
        <v>150</v>
      </c>
      <c r="G18" s="9" t="s">
        <v>76</v>
      </c>
      <c r="H18" s="10" t="s">
        <v>86</v>
      </c>
      <c r="I18" s="7" t="s">
        <v>78</v>
      </c>
      <c r="J18" s="11" t="s">
        <v>79</v>
      </c>
      <c r="K18" s="4" t="s">
        <v>4</v>
      </c>
      <c r="L18" s="4" t="s">
        <v>5</v>
      </c>
    </row>
    <row r="19" spans="1:12" x14ac:dyDescent="0.4">
      <c r="A19" s="4">
        <v>17</v>
      </c>
      <c r="B19" s="4" t="s">
        <v>21</v>
      </c>
      <c r="C19" s="6">
        <v>42807</v>
      </c>
      <c r="D19" s="3" t="str">
        <f t="shared" ca="1" si="0"/>
        <v>9 ปี 6 เดือน 14 วัน</v>
      </c>
      <c r="E19" s="9" t="s">
        <v>151</v>
      </c>
      <c r="F19" s="9" t="s">
        <v>152</v>
      </c>
      <c r="G19" s="9" t="s">
        <v>76</v>
      </c>
      <c r="H19" s="10" t="s">
        <v>86</v>
      </c>
      <c r="I19" s="7" t="s">
        <v>78</v>
      </c>
      <c r="J19" s="11" t="s">
        <v>79</v>
      </c>
      <c r="K19" s="4" t="s">
        <v>4</v>
      </c>
      <c r="L19" s="4" t="s">
        <v>5</v>
      </c>
    </row>
    <row r="20" spans="1:12" x14ac:dyDescent="0.4">
      <c r="A20" s="5">
        <v>18</v>
      </c>
      <c r="B20" s="4" t="s">
        <v>22</v>
      </c>
      <c r="C20" s="6">
        <v>43222</v>
      </c>
      <c r="D20" s="3" t="str">
        <f t="shared" ca="1" si="0"/>
        <v>8 ปี 4 เดือน 25 วัน</v>
      </c>
      <c r="E20" s="9" t="s">
        <v>153</v>
      </c>
      <c r="F20" s="9" t="s">
        <v>154</v>
      </c>
      <c r="G20" s="9" t="s">
        <v>76</v>
      </c>
      <c r="H20" s="10" t="s">
        <v>86</v>
      </c>
      <c r="I20" s="7" t="s">
        <v>78</v>
      </c>
      <c r="J20" s="13" t="s">
        <v>87</v>
      </c>
      <c r="K20" s="4" t="s">
        <v>4</v>
      </c>
      <c r="L20" s="4" t="s">
        <v>5</v>
      </c>
    </row>
    <row r="21" spans="1:12" x14ac:dyDescent="0.4">
      <c r="A21" s="5">
        <v>19</v>
      </c>
      <c r="B21" s="4" t="s">
        <v>23</v>
      </c>
      <c r="C21" s="6">
        <v>43223</v>
      </c>
      <c r="D21" s="3" t="str">
        <f t="shared" ca="1" si="0"/>
        <v>8 ปี 4 เดือน 24 วัน</v>
      </c>
      <c r="E21" s="9" t="s">
        <v>157</v>
      </c>
      <c r="F21" s="9" t="s">
        <v>158</v>
      </c>
      <c r="G21" s="9" t="s">
        <v>76</v>
      </c>
      <c r="H21" s="10" t="s">
        <v>86</v>
      </c>
      <c r="I21" s="7" t="s">
        <v>78</v>
      </c>
      <c r="J21" s="13" t="s">
        <v>87</v>
      </c>
      <c r="K21" s="4" t="s">
        <v>4</v>
      </c>
      <c r="L21" s="4" t="s">
        <v>5</v>
      </c>
    </row>
    <row r="22" spans="1:12" x14ac:dyDescent="0.4">
      <c r="A22" s="4">
        <v>20</v>
      </c>
      <c r="B22" s="4" t="s">
        <v>24</v>
      </c>
      <c r="C22" s="6">
        <v>43511</v>
      </c>
      <c r="D22" s="3" t="str">
        <f t="shared" ca="1" si="0"/>
        <v>7 ปี 7 เดือน 12 วัน</v>
      </c>
      <c r="E22" s="9" t="s">
        <v>159</v>
      </c>
      <c r="F22" s="9" t="s">
        <v>160</v>
      </c>
      <c r="G22" s="9" t="s">
        <v>76</v>
      </c>
      <c r="H22" s="10" t="s">
        <v>86</v>
      </c>
      <c r="I22" s="7" t="s">
        <v>78</v>
      </c>
      <c r="J22" s="13" t="s">
        <v>88</v>
      </c>
      <c r="K22" s="4" t="s">
        <v>4</v>
      </c>
      <c r="L22" s="4" t="s">
        <v>5</v>
      </c>
    </row>
    <row r="23" spans="1:12" x14ac:dyDescent="0.4">
      <c r="A23" s="5">
        <v>21</v>
      </c>
      <c r="B23" s="4" t="s">
        <v>25</v>
      </c>
      <c r="C23" s="6">
        <v>43511</v>
      </c>
      <c r="D23" s="3" t="str">
        <f t="shared" ca="1" si="0"/>
        <v>7 ปี 7 เดือน 12 วัน</v>
      </c>
      <c r="E23" s="9" t="s">
        <v>161</v>
      </c>
      <c r="F23" s="9" t="s">
        <v>162</v>
      </c>
      <c r="G23" s="9" t="s">
        <v>76</v>
      </c>
      <c r="H23" s="10" t="s">
        <v>86</v>
      </c>
      <c r="I23" s="7" t="s">
        <v>78</v>
      </c>
      <c r="J23" s="13" t="s">
        <v>88</v>
      </c>
      <c r="K23" s="4" t="s">
        <v>4</v>
      </c>
      <c r="L23" s="4" t="s">
        <v>26</v>
      </c>
    </row>
    <row r="24" spans="1:12" x14ac:dyDescent="0.4">
      <c r="A24" s="5">
        <v>22</v>
      </c>
      <c r="B24" s="4" t="s">
        <v>27</v>
      </c>
      <c r="C24" s="6">
        <v>44613</v>
      </c>
      <c r="D24" s="3" t="str">
        <f t="shared" ca="1" si="0"/>
        <v>4 ปี 7 เดือน 6 วัน</v>
      </c>
      <c r="E24" s="9" t="s">
        <v>163</v>
      </c>
      <c r="F24" s="9" t="s">
        <v>164</v>
      </c>
      <c r="G24" s="9" t="s">
        <v>76</v>
      </c>
      <c r="H24" s="10" t="s">
        <v>86</v>
      </c>
      <c r="I24" s="7" t="s">
        <v>78</v>
      </c>
      <c r="J24" s="13" t="s">
        <v>88</v>
      </c>
      <c r="K24" s="4" t="s">
        <v>4</v>
      </c>
      <c r="L24" s="4" t="s">
        <v>13</v>
      </c>
    </row>
    <row r="25" spans="1:12" x14ac:dyDescent="0.4">
      <c r="A25" s="4">
        <v>23</v>
      </c>
      <c r="B25" s="4" t="s">
        <v>28</v>
      </c>
      <c r="C25" s="6">
        <v>44613</v>
      </c>
      <c r="D25" s="3" t="str">
        <f t="shared" ca="1" si="0"/>
        <v>4 ปี 7 เดือน 6 วัน</v>
      </c>
      <c r="E25" s="9" t="s">
        <v>165</v>
      </c>
      <c r="F25" s="9" t="s">
        <v>166</v>
      </c>
      <c r="G25" s="9" t="s">
        <v>76</v>
      </c>
      <c r="H25" s="10" t="s">
        <v>86</v>
      </c>
      <c r="I25" s="7" t="s">
        <v>78</v>
      </c>
      <c r="J25" s="13" t="s">
        <v>88</v>
      </c>
      <c r="K25" s="4" t="s">
        <v>4</v>
      </c>
      <c r="L25" s="4" t="s">
        <v>5</v>
      </c>
    </row>
    <row r="26" spans="1:12" x14ac:dyDescent="0.4">
      <c r="A26" s="5">
        <v>24</v>
      </c>
      <c r="B26" s="4" t="s">
        <v>29</v>
      </c>
      <c r="C26" s="6">
        <v>44718</v>
      </c>
      <c r="D26" s="3" t="str">
        <f t="shared" ca="1" si="0"/>
        <v>4 ปี 3 เดือน 21 วัน</v>
      </c>
      <c r="E26" s="9" t="s">
        <v>167</v>
      </c>
      <c r="F26" s="9" t="s">
        <v>168</v>
      </c>
      <c r="G26" s="9" t="s">
        <v>76</v>
      </c>
      <c r="H26" s="10" t="s">
        <v>86</v>
      </c>
      <c r="I26" s="7" t="s">
        <v>78</v>
      </c>
      <c r="J26" s="13" t="s">
        <v>88</v>
      </c>
      <c r="K26" s="4" t="s">
        <v>4</v>
      </c>
      <c r="L26" s="4" t="s">
        <v>13</v>
      </c>
    </row>
    <row r="27" spans="1:12" x14ac:dyDescent="0.4">
      <c r="A27" s="5">
        <v>25</v>
      </c>
      <c r="B27" s="4" t="s">
        <v>30</v>
      </c>
      <c r="C27" s="6">
        <v>44935</v>
      </c>
      <c r="D27" s="3" t="str">
        <f t="shared" ca="1" si="0"/>
        <v>3 ปี 8 เดือน 18 วัน</v>
      </c>
      <c r="E27" s="9" t="s">
        <v>169</v>
      </c>
      <c r="F27" s="9" t="s">
        <v>170</v>
      </c>
      <c r="G27" s="9" t="s">
        <v>76</v>
      </c>
      <c r="H27" s="10" t="s">
        <v>86</v>
      </c>
      <c r="I27" s="7" t="s">
        <v>78</v>
      </c>
      <c r="J27" s="13" t="s">
        <v>89</v>
      </c>
      <c r="K27" s="4" t="s">
        <v>4</v>
      </c>
      <c r="L27" s="4" t="s">
        <v>5</v>
      </c>
    </row>
    <row r="28" spans="1:12" x14ac:dyDescent="0.4">
      <c r="A28" s="4">
        <v>26</v>
      </c>
      <c r="B28" s="4" t="s">
        <v>31</v>
      </c>
      <c r="C28" s="6">
        <v>44935</v>
      </c>
      <c r="D28" s="3" t="str">
        <f t="shared" ca="1" si="0"/>
        <v>3 ปี 8 เดือน 18 วัน</v>
      </c>
      <c r="E28" s="9" t="s">
        <v>171</v>
      </c>
      <c r="F28" s="9" t="s">
        <v>172</v>
      </c>
      <c r="G28" s="9" t="s">
        <v>76</v>
      </c>
      <c r="H28" s="10" t="s">
        <v>86</v>
      </c>
      <c r="I28" s="7" t="s">
        <v>78</v>
      </c>
      <c r="J28" s="13" t="s">
        <v>89</v>
      </c>
      <c r="K28" s="4" t="s">
        <v>4</v>
      </c>
      <c r="L28" s="4" t="s">
        <v>32</v>
      </c>
    </row>
    <row r="29" spans="1:12" x14ac:dyDescent="0.4">
      <c r="A29" s="5">
        <v>27</v>
      </c>
      <c r="B29" s="4" t="s">
        <v>33</v>
      </c>
      <c r="C29" s="6">
        <v>45163</v>
      </c>
      <c r="D29" s="3" t="str">
        <f t="shared" ca="1" si="0"/>
        <v>3 ปี 1 เดือน 2 วัน</v>
      </c>
      <c r="E29" s="9" t="s">
        <v>173</v>
      </c>
      <c r="F29" s="9" t="s">
        <v>174</v>
      </c>
      <c r="G29" s="9" t="s">
        <v>76</v>
      </c>
      <c r="H29" s="10" t="s">
        <v>86</v>
      </c>
      <c r="I29" s="7" t="s">
        <v>78</v>
      </c>
      <c r="J29" s="13" t="s">
        <v>88</v>
      </c>
      <c r="K29" s="4" t="s">
        <v>4</v>
      </c>
      <c r="L29" s="4" t="s">
        <v>32</v>
      </c>
    </row>
    <row r="30" spans="1:12" x14ac:dyDescent="0.4">
      <c r="A30" s="5">
        <v>28</v>
      </c>
      <c r="B30" s="4" t="s">
        <v>34</v>
      </c>
      <c r="C30" s="6">
        <v>45163</v>
      </c>
      <c r="D30" s="3" t="str">
        <f t="shared" ca="1" si="0"/>
        <v>3 ปี 1 เดือน 2 วัน</v>
      </c>
      <c r="E30" s="9" t="s">
        <v>175</v>
      </c>
      <c r="F30" s="9" t="s">
        <v>176</v>
      </c>
      <c r="G30" s="9" t="s">
        <v>76</v>
      </c>
      <c r="H30" s="10" t="s">
        <v>86</v>
      </c>
      <c r="I30" s="7" t="s">
        <v>78</v>
      </c>
      <c r="J30" s="13" t="s">
        <v>88</v>
      </c>
      <c r="K30" s="4" t="s">
        <v>4</v>
      </c>
      <c r="L30" s="4" t="s">
        <v>5</v>
      </c>
    </row>
    <row r="31" spans="1:12" x14ac:dyDescent="0.4">
      <c r="A31" s="4">
        <v>29</v>
      </c>
      <c r="B31" s="4" t="s">
        <v>35</v>
      </c>
      <c r="C31" s="6">
        <v>45163</v>
      </c>
      <c r="D31" s="3" t="str">
        <f t="shared" ca="1" si="0"/>
        <v>3 ปี 1 เดือน 2 วัน</v>
      </c>
      <c r="E31" s="9" t="s">
        <v>177</v>
      </c>
      <c r="F31" s="9" t="s">
        <v>178</v>
      </c>
      <c r="G31" s="9" t="s">
        <v>76</v>
      </c>
      <c r="H31" s="10" t="s">
        <v>86</v>
      </c>
      <c r="I31" s="7" t="s">
        <v>78</v>
      </c>
      <c r="J31" s="13" t="s">
        <v>88</v>
      </c>
      <c r="K31" s="4" t="s">
        <v>4</v>
      </c>
      <c r="L31" s="4" t="s">
        <v>5</v>
      </c>
    </row>
    <row r="32" spans="1:12" x14ac:dyDescent="0.4">
      <c r="A32" s="5">
        <v>30</v>
      </c>
      <c r="B32" s="4" t="s">
        <v>36</v>
      </c>
      <c r="C32" s="6">
        <v>45561</v>
      </c>
      <c r="D32" s="3" t="str">
        <f t="shared" ca="1" si="0"/>
        <v>2 ปี 0 เดือน 1 วัน</v>
      </c>
      <c r="E32" s="9" t="s">
        <v>204</v>
      </c>
      <c r="F32" s="9" t="s">
        <v>205</v>
      </c>
      <c r="G32" s="9" t="s">
        <v>76</v>
      </c>
      <c r="H32" s="10" t="s">
        <v>86</v>
      </c>
      <c r="I32" s="7" t="s">
        <v>78</v>
      </c>
      <c r="J32" s="13" t="s">
        <v>88</v>
      </c>
      <c r="K32" s="4" t="s">
        <v>4</v>
      </c>
      <c r="L32" s="4" t="s">
        <v>13</v>
      </c>
    </row>
    <row r="33" spans="1:12" x14ac:dyDescent="0.4">
      <c r="A33" s="5">
        <v>31</v>
      </c>
      <c r="B33" s="4" t="s">
        <v>37</v>
      </c>
      <c r="C33" s="6">
        <v>45561</v>
      </c>
      <c r="D33" s="3" t="str">
        <f t="shared" ca="1" si="0"/>
        <v>2 ปี 0 เดือน 1 วัน</v>
      </c>
      <c r="E33" s="9" t="s">
        <v>107</v>
      </c>
      <c r="F33" s="9" t="s">
        <v>108</v>
      </c>
      <c r="G33" s="9" t="s">
        <v>76</v>
      </c>
      <c r="H33" s="10" t="s">
        <v>86</v>
      </c>
      <c r="I33" s="7" t="s">
        <v>78</v>
      </c>
      <c r="J33" s="13" t="s">
        <v>88</v>
      </c>
      <c r="K33" s="4" t="s">
        <v>4</v>
      </c>
      <c r="L33" s="4" t="s">
        <v>32</v>
      </c>
    </row>
    <row r="34" spans="1:12" x14ac:dyDescent="0.4">
      <c r="A34" s="4">
        <v>32</v>
      </c>
      <c r="B34" s="4" t="s">
        <v>38</v>
      </c>
      <c r="C34" s="6">
        <v>45561</v>
      </c>
      <c r="D34" s="3" t="str">
        <f t="shared" ca="1" si="0"/>
        <v>2 ปี 0 เดือน 1 วัน</v>
      </c>
      <c r="E34" s="9" t="s">
        <v>105</v>
      </c>
      <c r="F34" s="9" t="s">
        <v>106</v>
      </c>
      <c r="G34" s="9" t="s">
        <v>76</v>
      </c>
      <c r="H34" s="10" t="s">
        <v>86</v>
      </c>
      <c r="I34" s="7" t="s">
        <v>78</v>
      </c>
      <c r="J34" s="13" t="s">
        <v>88</v>
      </c>
      <c r="K34" s="4" t="s">
        <v>4</v>
      </c>
      <c r="L34" s="4" t="s">
        <v>26</v>
      </c>
    </row>
    <row r="35" spans="1:12" x14ac:dyDescent="0.4">
      <c r="A35" s="5">
        <v>33</v>
      </c>
      <c r="B35" s="4" t="s">
        <v>39</v>
      </c>
      <c r="C35" s="6">
        <v>45596</v>
      </c>
      <c r="D35" s="3" t="str">
        <f t="shared" ca="1" si="0"/>
        <v>1 ปี 10 เดือน 27 วัน</v>
      </c>
      <c r="E35" s="9" t="s">
        <v>208</v>
      </c>
      <c r="F35" s="9" t="s">
        <v>209</v>
      </c>
      <c r="G35" s="9" t="s">
        <v>76</v>
      </c>
      <c r="H35" s="10" t="s">
        <v>86</v>
      </c>
      <c r="I35" s="7" t="s">
        <v>78</v>
      </c>
      <c r="J35" s="13" t="s">
        <v>89</v>
      </c>
      <c r="K35" s="4" t="s">
        <v>4</v>
      </c>
      <c r="L35" s="4" t="s">
        <v>5</v>
      </c>
    </row>
    <row r="36" spans="1:12" x14ac:dyDescent="0.4">
      <c r="A36" s="5">
        <v>34</v>
      </c>
      <c r="B36" s="4" t="s">
        <v>40</v>
      </c>
      <c r="C36" s="6">
        <v>45596</v>
      </c>
      <c r="D36" s="3" t="str">
        <f t="shared" ca="1" si="0"/>
        <v>1 ปี 10 เดือน 27 วัน</v>
      </c>
      <c r="E36" s="9" t="s">
        <v>180</v>
      </c>
      <c r="F36" s="9" t="s">
        <v>195</v>
      </c>
      <c r="G36" s="9" t="s">
        <v>76</v>
      </c>
      <c r="H36" s="10" t="s">
        <v>86</v>
      </c>
      <c r="I36" s="7" t="s">
        <v>78</v>
      </c>
      <c r="J36" s="13" t="s">
        <v>89</v>
      </c>
      <c r="K36" s="4" t="s">
        <v>4</v>
      </c>
      <c r="L36" s="4" t="s">
        <v>5</v>
      </c>
    </row>
    <row r="37" spans="1:12" x14ac:dyDescent="0.4">
      <c r="A37" s="4">
        <v>35</v>
      </c>
      <c r="B37" s="4" t="s">
        <v>41</v>
      </c>
      <c r="C37" s="6">
        <v>45596</v>
      </c>
      <c r="D37" s="3" t="str">
        <f t="shared" ca="1" si="0"/>
        <v>1 ปี 10 เดือน 27 วัน</v>
      </c>
      <c r="E37" s="9" t="s">
        <v>210</v>
      </c>
      <c r="F37" s="9" t="s">
        <v>211</v>
      </c>
      <c r="G37" s="9" t="s">
        <v>76</v>
      </c>
      <c r="H37" s="10" t="s">
        <v>86</v>
      </c>
      <c r="I37" s="7" t="s">
        <v>78</v>
      </c>
      <c r="J37" s="13" t="s">
        <v>89</v>
      </c>
      <c r="K37" s="4" t="s">
        <v>4</v>
      </c>
      <c r="L37" s="4" t="s">
        <v>5</v>
      </c>
    </row>
    <row r="38" spans="1:12" x14ac:dyDescent="0.4">
      <c r="A38" s="5">
        <v>36</v>
      </c>
      <c r="B38" s="4" t="s">
        <v>42</v>
      </c>
      <c r="C38" s="6">
        <v>45596</v>
      </c>
      <c r="D38" s="3" t="str">
        <f t="shared" ca="1" si="0"/>
        <v>1 ปี 10 เดือน 27 วัน</v>
      </c>
      <c r="E38" s="9" t="s">
        <v>212</v>
      </c>
      <c r="F38" s="9" t="s">
        <v>213</v>
      </c>
      <c r="G38" s="9" t="s">
        <v>76</v>
      </c>
      <c r="H38" s="10" t="s">
        <v>86</v>
      </c>
      <c r="I38" s="7" t="s">
        <v>78</v>
      </c>
      <c r="J38" s="13" t="s">
        <v>89</v>
      </c>
      <c r="K38" s="4" t="s">
        <v>4</v>
      </c>
      <c r="L38" s="4" t="s">
        <v>5</v>
      </c>
    </row>
    <row r="39" spans="1:12" x14ac:dyDescent="0.4">
      <c r="A39" s="5">
        <v>37</v>
      </c>
      <c r="B39" s="4" t="s">
        <v>43</v>
      </c>
      <c r="C39" s="6">
        <v>45695</v>
      </c>
      <c r="D39" s="3" t="str">
        <f t="shared" ca="1" si="0"/>
        <v>1 ปี 7 เดือน 20 วัน</v>
      </c>
      <c r="E39" s="9" t="s">
        <v>179</v>
      </c>
      <c r="F39" s="9" t="s">
        <v>181</v>
      </c>
      <c r="G39" s="9" t="s">
        <v>76</v>
      </c>
      <c r="H39" s="10" t="s">
        <v>86</v>
      </c>
      <c r="I39" s="7" t="s">
        <v>78</v>
      </c>
      <c r="J39" s="13" t="s">
        <v>89</v>
      </c>
      <c r="K39" s="4" t="s">
        <v>4</v>
      </c>
      <c r="L39" s="4" t="s">
        <v>69</v>
      </c>
    </row>
    <row r="40" spans="1:12" x14ac:dyDescent="0.4">
      <c r="A40" s="4">
        <v>38</v>
      </c>
      <c r="B40" s="4" t="s">
        <v>44</v>
      </c>
      <c r="C40" s="6">
        <v>45695</v>
      </c>
      <c r="D40" s="3" t="str">
        <f t="shared" ca="1" si="0"/>
        <v>1 ปี 7 เดือน 20 วัน</v>
      </c>
      <c r="E40" s="9" t="s">
        <v>180</v>
      </c>
      <c r="F40" s="9" t="s">
        <v>182</v>
      </c>
      <c r="G40" s="9" t="s">
        <v>76</v>
      </c>
      <c r="H40" s="10" t="s">
        <v>86</v>
      </c>
      <c r="I40" s="7" t="s">
        <v>78</v>
      </c>
      <c r="J40" s="13" t="s">
        <v>89</v>
      </c>
      <c r="K40" s="4" t="s">
        <v>4</v>
      </c>
      <c r="L40" s="4" t="s">
        <v>5</v>
      </c>
    </row>
    <row r="41" spans="1:12" x14ac:dyDescent="0.4">
      <c r="A41" s="5">
        <v>39</v>
      </c>
      <c r="B41" s="4" t="s">
        <v>45</v>
      </c>
      <c r="C41" s="6">
        <v>45750</v>
      </c>
      <c r="D41" s="3" t="str">
        <f t="shared" ca="1" si="0"/>
        <v>1 ปี 5 เดือน 24 วัน</v>
      </c>
      <c r="E41" s="9" t="s">
        <v>122</v>
      </c>
      <c r="F41" s="9" t="s">
        <v>123</v>
      </c>
      <c r="G41" s="9" t="s">
        <v>76</v>
      </c>
      <c r="H41" s="10" t="s">
        <v>86</v>
      </c>
      <c r="I41" s="7" t="s">
        <v>78</v>
      </c>
      <c r="J41" s="13" t="s">
        <v>89</v>
      </c>
      <c r="K41" s="4" t="s">
        <v>4</v>
      </c>
      <c r="L41" s="4" t="s">
        <v>5</v>
      </c>
    </row>
    <row r="42" spans="1:12" x14ac:dyDescent="0.4">
      <c r="A42" s="5">
        <v>40</v>
      </c>
      <c r="B42" s="4" t="s">
        <v>46</v>
      </c>
      <c r="C42" s="14">
        <v>46051</v>
      </c>
      <c r="D42" s="3" t="str">
        <f t="shared" ca="1" si="0"/>
        <v>0 ปี 7 เดือน 29 วัน</v>
      </c>
      <c r="E42" s="9" t="s">
        <v>183</v>
      </c>
      <c r="F42" s="9" t="s">
        <v>184</v>
      </c>
      <c r="G42" s="9" t="s">
        <v>76</v>
      </c>
      <c r="H42" s="10" t="s">
        <v>86</v>
      </c>
      <c r="I42" s="7" t="s">
        <v>78</v>
      </c>
      <c r="J42" s="13" t="s">
        <v>89</v>
      </c>
      <c r="K42" s="4" t="s">
        <v>4</v>
      </c>
      <c r="L42" s="4" t="s">
        <v>5</v>
      </c>
    </row>
    <row r="43" spans="1:12" x14ac:dyDescent="0.4">
      <c r="A43" s="4">
        <v>41</v>
      </c>
      <c r="B43" s="4" t="s">
        <v>47</v>
      </c>
      <c r="C43" s="14">
        <v>46051</v>
      </c>
      <c r="D43" s="3" t="str">
        <f t="shared" ca="1" si="0"/>
        <v>0 ปี 7 เดือน 29 วัน</v>
      </c>
      <c r="E43" s="9" t="s">
        <v>185</v>
      </c>
      <c r="F43" s="9" t="s">
        <v>186</v>
      </c>
      <c r="G43" s="9" t="s">
        <v>76</v>
      </c>
      <c r="H43" s="10" t="s">
        <v>86</v>
      </c>
      <c r="I43" s="7" t="s">
        <v>78</v>
      </c>
      <c r="J43" s="13" t="s">
        <v>89</v>
      </c>
      <c r="K43" s="4" t="s">
        <v>4</v>
      </c>
      <c r="L43" s="4" t="s">
        <v>5</v>
      </c>
    </row>
    <row r="44" spans="1:12" x14ac:dyDescent="0.4">
      <c r="A44" s="5">
        <v>42</v>
      </c>
      <c r="B44" s="4" t="s">
        <v>48</v>
      </c>
      <c r="C44" s="6">
        <v>38918</v>
      </c>
      <c r="D44" s="3" t="str">
        <f t="shared" ca="1" si="0"/>
        <v>20 ปี 2 เดือน 7 วัน</v>
      </c>
      <c r="E44" s="9" t="s">
        <v>189</v>
      </c>
      <c r="F44" s="9" t="s">
        <v>190</v>
      </c>
      <c r="G44" s="9" t="s">
        <v>76</v>
      </c>
      <c r="H44" s="10" t="s">
        <v>90</v>
      </c>
      <c r="I44" s="7" t="s">
        <v>78</v>
      </c>
      <c r="J44" s="13" t="s">
        <v>87</v>
      </c>
      <c r="K44" s="4" t="s">
        <v>49</v>
      </c>
      <c r="L44" s="4" t="s">
        <v>5</v>
      </c>
    </row>
    <row r="45" spans="1:12" x14ac:dyDescent="0.4">
      <c r="A45" s="5">
        <v>43</v>
      </c>
      <c r="B45" s="4" t="s">
        <v>50</v>
      </c>
      <c r="C45" s="6">
        <v>41555</v>
      </c>
      <c r="D45" s="3" t="str">
        <f t="shared" ca="1" si="0"/>
        <v>12 ปี 11 เดือน 19 วัน</v>
      </c>
      <c r="E45" s="9" t="s">
        <v>214</v>
      </c>
      <c r="F45" s="9" t="s">
        <v>215</v>
      </c>
      <c r="G45" s="9" t="s">
        <v>76</v>
      </c>
      <c r="H45" s="10" t="s">
        <v>90</v>
      </c>
      <c r="I45" s="7" t="s">
        <v>78</v>
      </c>
      <c r="J45" s="11" t="s">
        <v>79</v>
      </c>
      <c r="K45" s="4" t="s">
        <v>49</v>
      </c>
      <c r="L45" s="4" t="s">
        <v>5</v>
      </c>
    </row>
    <row r="46" spans="1:12" x14ac:dyDescent="0.4">
      <c r="A46" s="4">
        <v>44</v>
      </c>
      <c r="B46" s="4" t="s">
        <v>51</v>
      </c>
      <c r="C46" s="6">
        <v>41579</v>
      </c>
      <c r="D46" s="3" t="str">
        <f t="shared" ca="1" si="0"/>
        <v>12 ปี 10 เดือน 26 วัน</v>
      </c>
      <c r="E46" s="9" t="s">
        <v>206</v>
      </c>
      <c r="F46" s="9" t="s">
        <v>207</v>
      </c>
      <c r="G46" s="9" t="s">
        <v>76</v>
      </c>
      <c r="H46" s="10" t="s">
        <v>90</v>
      </c>
      <c r="I46" s="7" t="s">
        <v>78</v>
      </c>
      <c r="J46" s="11" t="s">
        <v>79</v>
      </c>
      <c r="K46" s="4" t="s">
        <v>49</v>
      </c>
      <c r="L46" s="4" t="s">
        <v>5</v>
      </c>
    </row>
    <row r="47" spans="1:12" x14ac:dyDescent="0.4">
      <c r="A47" s="5">
        <v>45</v>
      </c>
      <c r="B47" s="4" t="s">
        <v>52</v>
      </c>
      <c r="C47" s="6">
        <v>43222</v>
      </c>
      <c r="D47" s="3" t="str">
        <f t="shared" ca="1" si="0"/>
        <v>8 ปี 4 เดือน 25 วัน</v>
      </c>
      <c r="E47" s="9" t="s">
        <v>155</v>
      </c>
      <c r="F47" s="9" t="s">
        <v>156</v>
      </c>
      <c r="G47" s="9" t="s">
        <v>76</v>
      </c>
      <c r="H47" s="10" t="s">
        <v>86</v>
      </c>
      <c r="I47" s="7" t="s">
        <v>78</v>
      </c>
      <c r="J47" s="13" t="s">
        <v>87</v>
      </c>
      <c r="K47" s="4" t="s">
        <v>49</v>
      </c>
      <c r="L47" s="4" t="s">
        <v>5</v>
      </c>
    </row>
    <row r="48" spans="1:12" x14ac:dyDescent="0.4">
      <c r="A48" s="5">
        <v>46</v>
      </c>
      <c r="B48" s="4" t="s">
        <v>53</v>
      </c>
      <c r="C48" s="6">
        <v>44718</v>
      </c>
      <c r="D48" s="3" t="str">
        <f t="shared" ca="1" si="0"/>
        <v>4 ปี 3 เดือน 21 วัน</v>
      </c>
      <c r="E48" s="12" t="s">
        <v>187</v>
      </c>
      <c r="F48" s="12" t="s">
        <v>188</v>
      </c>
      <c r="G48" s="12" t="s">
        <v>76</v>
      </c>
      <c r="H48" s="10" t="s">
        <v>86</v>
      </c>
      <c r="I48" s="7" t="s">
        <v>78</v>
      </c>
      <c r="J48" s="13" t="s">
        <v>88</v>
      </c>
      <c r="K48" s="4" t="s">
        <v>49</v>
      </c>
      <c r="L48" s="4" t="s">
        <v>5</v>
      </c>
    </row>
    <row r="49" spans="1:12" x14ac:dyDescent="0.4">
      <c r="A49" s="4">
        <v>47</v>
      </c>
      <c r="B49" s="4" t="s">
        <v>54</v>
      </c>
      <c r="C49" s="6">
        <v>39967</v>
      </c>
      <c r="D49" s="3" t="str">
        <f t="shared" ca="1" si="0"/>
        <v>17 ปี 3 เดือน 24 วัน</v>
      </c>
      <c r="E49" s="10" t="s">
        <v>110</v>
      </c>
      <c r="F49" s="10" t="s">
        <v>111</v>
      </c>
      <c r="G49" s="10" t="s">
        <v>80</v>
      </c>
      <c r="H49" s="10" t="s">
        <v>82</v>
      </c>
      <c r="I49" s="7" t="s">
        <v>78</v>
      </c>
      <c r="J49" s="13" t="s">
        <v>91</v>
      </c>
      <c r="K49" s="4" t="s">
        <v>55</v>
      </c>
      <c r="L49" s="4" t="s">
        <v>5</v>
      </c>
    </row>
    <row r="50" spans="1:12" x14ac:dyDescent="0.4">
      <c r="A50" s="5">
        <v>48</v>
      </c>
      <c r="B50" s="4" t="s">
        <v>56</v>
      </c>
      <c r="C50" s="6">
        <v>42339</v>
      </c>
      <c r="D50" s="3" t="str">
        <f t="shared" ca="1" si="0"/>
        <v>10 ปี 9 เดือน 26 วัน</v>
      </c>
      <c r="E50" s="10" t="s">
        <v>200</v>
      </c>
      <c r="F50" s="10" t="s">
        <v>201</v>
      </c>
      <c r="G50" s="10" t="s">
        <v>81</v>
      </c>
      <c r="H50" s="10" t="s">
        <v>83</v>
      </c>
      <c r="I50" s="7" t="s">
        <v>78</v>
      </c>
      <c r="J50" s="13" t="s">
        <v>91</v>
      </c>
      <c r="K50" s="4" t="s">
        <v>55</v>
      </c>
      <c r="L50" s="4" t="s">
        <v>5</v>
      </c>
    </row>
    <row r="51" spans="1:12" x14ac:dyDescent="0.4">
      <c r="A51" s="5">
        <v>49</v>
      </c>
      <c r="B51" s="4" t="s">
        <v>57</v>
      </c>
      <c r="C51" s="6">
        <v>42339</v>
      </c>
      <c r="D51" s="3" t="str">
        <f t="shared" ca="1" si="0"/>
        <v>10 ปี 9 เดือน 26 วัน</v>
      </c>
      <c r="E51" s="10" t="s">
        <v>202</v>
      </c>
      <c r="F51" s="10" t="s">
        <v>203</v>
      </c>
      <c r="G51" s="10" t="s">
        <v>81</v>
      </c>
      <c r="H51" s="10" t="s">
        <v>83</v>
      </c>
      <c r="I51" s="7" t="s">
        <v>78</v>
      </c>
      <c r="J51" s="13" t="s">
        <v>91</v>
      </c>
      <c r="K51" s="4" t="s">
        <v>55</v>
      </c>
      <c r="L51" s="4" t="s">
        <v>26</v>
      </c>
    </row>
    <row r="52" spans="1:12" x14ac:dyDescent="0.4">
      <c r="A52" s="4">
        <v>50</v>
      </c>
      <c r="B52" s="4" t="s">
        <v>58</v>
      </c>
      <c r="C52" s="6">
        <v>42991</v>
      </c>
      <c r="D52" s="3" t="str">
        <f t="shared" ca="1" si="0"/>
        <v>9 ปี 0 เดือน 14 วัน</v>
      </c>
      <c r="E52" s="10" t="s">
        <v>101</v>
      </c>
      <c r="F52" s="10" t="s">
        <v>102</v>
      </c>
      <c r="G52" s="10" t="s">
        <v>81</v>
      </c>
      <c r="H52" s="10" t="s">
        <v>83</v>
      </c>
      <c r="I52" s="7" t="s">
        <v>78</v>
      </c>
      <c r="J52" s="13" t="s">
        <v>92</v>
      </c>
      <c r="K52" s="4" t="s">
        <v>55</v>
      </c>
      <c r="L52" s="4" t="s">
        <v>26</v>
      </c>
    </row>
    <row r="53" spans="1:12" x14ac:dyDescent="0.4">
      <c r="A53" s="5">
        <v>51</v>
      </c>
      <c r="B53" s="4" t="s">
        <v>59</v>
      </c>
      <c r="C53" s="6">
        <v>42991</v>
      </c>
      <c r="D53" s="3" t="str">
        <f t="shared" ca="1" si="0"/>
        <v>9 ปี 0 เดือน 14 วัน</v>
      </c>
      <c r="E53" s="10" t="s">
        <v>103</v>
      </c>
      <c r="F53" s="10" t="s">
        <v>104</v>
      </c>
      <c r="G53" s="10" t="s">
        <v>81</v>
      </c>
      <c r="H53" s="10" t="s">
        <v>83</v>
      </c>
      <c r="I53" s="7" t="s">
        <v>78</v>
      </c>
      <c r="J53" s="13" t="s">
        <v>92</v>
      </c>
      <c r="K53" s="4" t="s">
        <v>55</v>
      </c>
      <c r="L53" s="4" t="s">
        <v>5</v>
      </c>
    </row>
    <row r="54" spans="1:12" x14ac:dyDescent="0.4">
      <c r="A54" s="5">
        <v>52</v>
      </c>
      <c r="B54" s="4" t="s">
        <v>60</v>
      </c>
      <c r="C54" s="6">
        <v>43165</v>
      </c>
      <c r="D54" s="3" t="str">
        <f t="shared" ca="1" si="0"/>
        <v>8 ปี 6 เดือน 21 วัน</v>
      </c>
      <c r="E54" s="10" t="s">
        <v>112</v>
      </c>
      <c r="F54" s="10" t="s">
        <v>113</v>
      </c>
      <c r="G54" s="10" t="s">
        <v>81</v>
      </c>
      <c r="H54" s="10" t="s">
        <v>83</v>
      </c>
      <c r="I54" s="7" t="s">
        <v>78</v>
      </c>
      <c r="J54" s="13" t="s">
        <v>92</v>
      </c>
      <c r="K54" s="4" t="s">
        <v>55</v>
      </c>
      <c r="L54" s="4" t="s">
        <v>5</v>
      </c>
    </row>
    <row r="55" spans="1:12" x14ac:dyDescent="0.4">
      <c r="A55" s="4">
        <v>53</v>
      </c>
      <c r="B55" s="4" t="s">
        <v>61</v>
      </c>
      <c r="C55" s="6">
        <v>43165</v>
      </c>
      <c r="D55" s="3" t="str">
        <f t="shared" ca="1" si="0"/>
        <v>8 ปี 6 เดือน 21 วัน</v>
      </c>
      <c r="E55" s="10" t="s">
        <v>114</v>
      </c>
      <c r="F55" s="10" t="s">
        <v>115</v>
      </c>
      <c r="G55" s="10" t="s">
        <v>81</v>
      </c>
      <c r="H55" s="10" t="s">
        <v>83</v>
      </c>
      <c r="I55" s="7" t="s">
        <v>78</v>
      </c>
      <c r="J55" s="13" t="s">
        <v>92</v>
      </c>
      <c r="K55" s="4" t="s">
        <v>55</v>
      </c>
      <c r="L55" s="4" t="s">
        <v>5</v>
      </c>
    </row>
    <row r="56" spans="1:12" x14ac:dyDescent="0.4">
      <c r="A56" s="5">
        <v>54</v>
      </c>
      <c r="B56" s="4" t="s">
        <v>62</v>
      </c>
      <c r="C56" s="6">
        <v>44488</v>
      </c>
      <c r="D56" s="3" t="str">
        <f t="shared" ca="1" si="0"/>
        <v>4 ปี 11 เดือน 8 วัน</v>
      </c>
      <c r="E56" s="10" t="s">
        <v>99</v>
      </c>
      <c r="F56" s="10" t="s">
        <v>100</v>
      </c>
      <c r="G56" s="10" t="s">
        <v>81</v>
      </c>
      <c r="H56" s="10" t="s">
        <v>83</v>
      </c>
      <c r="I56" s="7" t="s">
        <v>78</v>
      </c>
      <c r="J56" s="13" t="s">
        <v>92</v>
      </c>
      <c r="K56" s="4" t="s">
        <v>55</v>
      </c>
      <c r="L56" s="4" t="s">
        <v>5</v>
      </c>
    </row>
    <row r="57" spans="1:12" x14ac:dyDescent="0.4">
      <c r="A57" s="5">
        <v>55</v>
      </c>
      <c r="B57" s="4" t="s">
        <v>63</v>
      </c>
      <c r="C57" s="6">
        <v>44488</v>
      </c>
      <c r="D57" s="3" t="str">
        <f t="shared" ca="1" si="0"/>
        <v>4 ปี 11 เดือน 8 วัน</v>
      </c>
      <c r="E57" s="7" t="s">
        <v>96</v>
      </c>
      <c r="F57" s="7" t="s">
        <v>98</v>
      </c>
      <c r="G57" s="10" t="s">
        <v>81</v>
      </c>
      <c r="H57" s="10" t="s">
        <v>83</v>
      </c>
      <c r="I57" s="7" t="s">
        <v>78</v>
      </c>
      <c r="J57" s="13" t="s">
        <v>92</v>
      </c>
      <c r="K57" s="4" t="s">
        <v>55</v>
      </c>
      <c r="L57" s="4" t="s">
        <v>5</v>
      </c>
    </row>
    <row r="58" spans="1:12" x14ac:dyDescent="0.4">
      <c r="A58" s="4">
        <v>56</v>
      </c>
      <c r="B58" s="15" t="s">
        <v>64</v>
      </c>
      <c r="C58" s="6">
        <v>44719</v>
      </c>
      <c r="D58" s="3" t="str">
        <f t="shared" ca="1" si="0"/>
        <v>4 ปี 3 เดือน 20 วัน</v>
      </c>
      <c r="E58" s="10" t="s">
        <v>116</v>
      </c>
      <c r="F58" s="10" t="s">
        <v>117</v>
      </c>
      <c r="G58" s="10" t="s">
        <v>81</v>
      </c>
      <c r="H58" s="10" t="s">
        <v>83</v>
      </c>
      <c r="I58" s="7" t="s">
        <v>78</v>
      </c>
      <c r="J58" s="13" t="s">
        <v>92</v>
      </c>
      <c r="K58" s="4" t="s">
        <v>55</v>
      </c>
      <c r="L58" s="4" t="s">
        <v>5</v>
      </c>
    </row>
    <row r="59" spans="1:12" x14ac:dyDescent="0.4">
      <c r="A59" s="5">
        <v>57</v>
      </c>
      <c r="B59" s="15" t="s">
        <v>65</v>
      </c>
      <c r="C59" s="6">
        <v>44719</v>
      </c>
      <c r="D59" s="3" t="str">
        <f t="shared" ca="1" si="0"/>
        <v>4 ปี 3 เดือน 20 วัน</v>
      </c>
      <c r="E59" s="10" t="s">
        <v>118</v>
      </c>
      <c r="F59" s="10" t="s">
        <v>119</v>
      </c>
      <c r="G59" s="10" t="s">
        <v>81</v>
      </c>
      <c r="H59" s="10" t="s">
        <v>83</v>
      </c>
      <c r="I59" s="7" t="s">
        <v>78</v>
      </c>
      <c r="J59" s="13" t="s">
        <v>92</v>
      </c>
      <c r="K59" s="4" t="s">
        <v>55</v>
      </c>
      <c r="L59" s="15" t="s">
        <v>26</v>
      </c>
    </row>
    <row r="60" spans="1:12" x14ac:dyDescent="0.4">
      <c r="A60" s="5">
        <v>58</v>
      </c>
      <c r="B60" s="15" t="s">
        <v>66</v>
      </c>
      <c r="C60" s="6">
        <v>44719</v>
      </c>
      <c r="D60" s="3" t="str">
        <f t="shared" ca="1" si="0"/>
        <v>4 ปี 3 เดือน 20 วัน</v>
      </c>
      <c r="E60" s="10" t="s">
        <v>120</v>
      </c>
      <c r="F60" s="10" t="s">
        <v>121</v>
      </c>
      <c r="G60" s="10" t="s">
        <v>81</v>
      </c>
      <c r="H60" s="10" t="s">
        <v>83</v>
      </c>
      <c r="I60" s="7" t="s">
        <v>78</v>
      </c>
      <c r="J60" s="13" t="s">
        <v>92</v>
      </c>
      <c r="K60" s="4" t="s">
        <v>55</v>
      </c>
      <c r="L60" s="4" t="s">
        <v>26</v>
      </c>
    </row>
    <row r="61" spans="1:12" x14ac:dyDescent="0.4">
      <c r="A61" s="4">
        <v>59</v>
      </c>
      <c r="B61" s="15" t="s">
        <v>67</v>
      </c>
      <c r="C61" s="6">
        <v>45618</v>
      </c>
      <c r="D61" s="3" t="str">
        <f t="shared" ca="1" si="0"/>
        <v>1 ปี 10 เดือน 5 วัน</v>
      </c>
      <c r="E61" s="10" t="s">
        <v>198</v>
      </c>
      <c r="F61" s="10" t="s">
        <v>199</v>
      </c>
      <c r="G61" s="10" t="s">
        <v>81</v>
      </c>
      <c r="H61" s="10" t="s">
        <v>83</v>
      </c>
      <c r="I61" s="7" t="s">
        <v>78</v>
      </c>
      <c r="J61" s="13" t="s">
        <v>92</v>
      </c>
      <c r="K61" s="4" t="s">
        <v>55</v>
      </c>
      <c r="L61" s="4" t="s">
        <v>5</v>
      </c>
    </row>
    <row r="62" spans="1:12" x14ac:dyDescent="0.4">
      <c r="A62" s="5">
        <v>60</v>
      </c>
      <c r="B62" s="15" t="s">
        <v>68</v>
      </c>
      <c r="C62" s="16">
        <v>45618</v>
      </c>
      <c r="D62" s="17" t="str">
        <f t="shared" ca="1" si="0"/>
        <v>1 ปี 10 เดือน 5 วัน</v>
      </c>
      <c r="E62" s="18" t="s">
        <v>196</v>
      </c>
      <c r="F62" s="18" t="s">
        <v>197</v>
      </c>
      <c r="G62" s="18" t="s">
        <v>81</v>
      </c>
      <c r="H62" s="18" t="s">
        <v>83</v>
      </c>
      <c r="I62" s="19" t="s">
        <v>78</v>
      </c>
      <c r="J62" s="13" t="s">
        <v>92</v>
      </c>
      <c r="K62" s="4" t="s">
        <v>55</v>
      </c>
      <c r="L62" s="15" t="s">
        <v>26</v>
      </c>
    </row>
  </sheetData>
  <mergeCells count="1">
    <mergeCell ref="A1:L1"/>
  </mergeCells>
  <pageMargins left="0.25" right="0.25" top="0.75" bottom="0.75" header="0.3" footer="0.3"/>
  <pageSetup scale="6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Arnat Yapamai</dc:creator>
  <cp:lastModifiedBy>NARONGKORN KITRUNGROT</cp:lastModifiedBy>
  <cp:lastPrinted>2026-09-08T09:17:36Z</cp:lastPrinted>
  <dcterms:created xsi:type="dcterms:W3CDTF">2026-08-10T07:25:13Z</dcterms:created>
  <dcterms:modified xsi:type="dcterms:W3CDTF">2026-09-26T03:46:52Z</dcterms:modified>
</cp:coreProperties>
</file>