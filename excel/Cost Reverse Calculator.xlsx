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tor" sheetId="1" state="visible" r:id="rId1"/>
    <sheet name="Inpu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#,##0.000"/>
    <numFmt numFmtId="166" formatCode="#,##0.0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color rgb="000000FF"/>
    </font>
    <font>
      <b val="1"/>
      <sz val="14"/>
    </font>
    <font>
      <i val="1"/>
      <color rgb="0066666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4" fillId="0" borderId="0" pivotButton="0" quotePrefix="0" xfId="0"/>
    <xf numFmtId="0" fontId="1" fillId="4" borderId="0" pivotButton="0" quotePrefix="0" xfId="0"/>
    <xf numFmtId="0" fontId="0" fillId="4" borderId="0" pivotButton="0" quotePrefix="0" xfId="0"/>
    <xf numFmtId="49" fontId="3" fillId="3" borderId="0" pivotButton="0" quotePrefix="0" xfId="0"/>
    <xf numFmtId="0" fontId="5" fillId="0" borderId="0" pivotButton="0" quotePrefix="0" xfId="0"/>
    <xf numFmtId="3" fontId="3" fillId="3" borderId="0" pivotButton="0" quotePrefix="0" xfId="0"/>
    <xf numFmtId="1" fontId="3" fillId="3" borderId="0" pivotButton="0" quotePrefix="0" xfId="0"/>
    <xf numFmtId="3" fontId="0" fillId="0" borderId="0" pivotButton="0" quotePrefix="0" xfId="0"/>
    <xf numFmtId="4" fontId="3" fillId="3" borderId="0" pivotButton="0" quotePrefix="0" xfId="0"/>
    <xf numFmtId="164" fontId="3" fillId="3" borderId="0" pivotButton="0" quotePrefix="0" xfId="0"/>
    <xf numFmtId="1" fontId="0" fillId="0" borderId="0" pivotButton="0" quotePrefix="0" xfId="0"/>
    <xf numFmtId="4" fontId="0" fillId="0" borderId="0" pivotButton="0" quotePrefix="0" xfId="0"/>
    <xf numFmtId="4" fontId="1" fillId="5" borderId="0" pivotButton="0" quotePrefix="0" xfId="0"/>
    <xf numFmtId="165" fontId="0" fillId="0" borderId="0" pivotButton="0" quotePrefix="0" xfId="0"/>
    <xf numFmtId="165" fontId="1" fillId="5" borderId="0" pivotButton="0" quotePrefix="0" xfId="0"/>
    <xf numFmtId="164" fontId="1" fillId="5" borderId="0" pivotButton="0" quotePrefix="0" xfId="0"/>
    <xf numFmtId="166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/>
    </xf>
    <xf numFmtId="3" fontId="0" fillId="0" borderId="0" applyAlignment="1" pivotButton="0" quotePrefix="0" xfId="0">
      <alignment horizontal="left"/>
    </xf>
    <xf numFmtId="0" fontId="1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9" fontId="3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" customWidth="1" min="1" max="1"/>
    <col width="50" customWidth="1" min="2" max="2"/>
    <col width="18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>
      <c r="B1" s="1" t="inlineStr">
        <is>
          <t>Cost reverse calculator: price per km + margin -&gt; cost -&gt; line items</t>
        </is>
      </c>
    </row>
    <row r="2">
      <c r="B2" t="inlineStr">
        <is>
          <t>Margin is on PRICE (price = cost / (1 - margin)), same as the Summary sheet. Yellow cells are inputs.</t>
        </is>
      </c>
    </row>
    <row r="3">
      <c r="B3" s="2" t="inlineStr">
        <is>
          <t>1. Inputs</t>
        </is>
      </c>
      <c r="C3" s="3" t="n"/>
      <c r="D3" s="3" t="n"/>
    </row>
    <row r="4">
      <c r="B4" t="inlineStr">
        <is>
          <t>Vehicle class</t>
        </is>
      </c>
      <c r="C4" s="4" t="inlineStr">
        <is>
          <t>4W - Dry</t>
        </is>
      </c>
      <c r="D4" s="5" t="inlineStr">
        <is>
          <t>pick from list</t>
        </is>
      </c>
    </row>
    <row r="5">
      <c r="B5" t="inlineStr">
        <is>
          <t>One-way distance (km)</t>
        </is>
      </c>
      <c r="C5" s="6" t="n">
        <v>120</v>
      </c>
      <c r="D5" s="5" t="inlineStr"/>
    </row>
    <row r="6">
      <c r="B6" t="inlineStr">
        <is>
          <t>Legs billed (2 = round trip)</t>
        </is>
      </c>
      <c r="C6" s="7" t="n">
        <v>2</v>
      </c>
      <c r="D6" s="5" t="inlineStr">
        <is>
          <t>Billable km = one-way x legs</t>
        </is>
      </c>
    </row>
    <row r="7">
      <c r="B7" t="inlineStr">
        <is>
          <t>Billable km</t>
        </is>
      </c>
      <c r="C7" s="8">
        <f>C5*C6</f>
        <v/>
      </c>
      <c r="D7" s="5" t="inlineStr"/>
    </row>
    <row r="8">
      <c r="B8" t="inlineStr">
        <is>
          <t>Quoted price per billable km (THB/km)</t>
        </is>
      </c>
      <c r="C8" s="9" t="n">
        <v>20.29</v>
      </c>
      <c r="D8" s="5" t="inlineStr">
        <is>
          <t>the number you want to reverse-engineer</t>
        </is>
      </c>
    </row>
    <row r="9">
      <c r="B9" t="inlineStr">
        <is>
          <t>Margin on price</t>
        </is>
      </c>
      <c r="C9" s="10" t="n">
        <v>0.3</v>
      </c>
      <c r="D9" s="5" t="inlineStr">
        <is>
          <t>Summary sheet uses 30%, Assumption row 49 says 25%</t>
        </is>
      </c>
    </row>
    <row r="10">
      <c r="B10" t="inlineStr">
        <is>
          <t>Trips per vehicle per month</t>
        </is>
      </c>
      <c r="C10" s="7" t="n">
        <v>25</v>
      </c>
      <c r="D10" s="5" t="inlineStr">
        <is>
          <t>utilisation: spreads fixed cost</t>
        </is>
      </c>
    </row>
    <row r="11">
      <c r="B11" t="inlineStr">
        <is>
          <t>Diesel price (THB/L)</t>
        </is>
      </c>
      <c r="C11" s="9" t="n">
        <v>48</v>
      </c>
      <c r="D11" s="5" t="inlineStr"/>
    </row>
    <row r="12">
      <c r="B12" t="inlineStr">
        <is>
          <t>(class index)</t>
        </is>
      </c>
      <c r="C12" s="11">
        <f>MATCH(C4,Inputs!$C$3:$L$3,0)</f>
        <v/>
      </c>
      <c r="D12" s="5" t="inlineStr">
        <is>
          <t>helper</t>
        </is>
      </c>
    </row>
    <row r="14">
      <c r="B14" s="2" t="inlineStr">
        <is>
          <t>2. Price -&gt; implied cost (exact)</t>
        </is>
      </c>
      <c r="C14" s="3" t="n"/>
      <c r="D14" s="3" t="n"/>
    </row>
    <row r="15">
      <c r="B15" t="inlineStr">
        <is>
          <t>Price per trip</t>
        </is>
      </c>
      <c r="C15" s="12">
        <f>C8*C7</f>
        <v/>
      </c>
      <c r="D15" s="5" t="inlineStr">
        <is>
          <t>price/km x billable km</t>
        </is>
      </c>
    </row>
    <row r="16">
      <c r="B16" t="inlineStr">
        <is>
          <t>Margin in THB</t>
        </is>
      </c>
      <c r="C16" s="12">
        <f>C15*C9</f>
        <v/>
      </c>
      <c r="D16" s="5" t="inlineStr"/>
    </row>
    <row r="17">
      <c r="B17" t="inlineStr">
        <is>
          <t>Implied cost per trip</t>
        </is>
      </c>
      <c r="C17" s="13">
        <f>C15-C16</f>
        <v/>
      </c>
      <c r="D17" s="5" t="inlineStr">
        <is>
          <t>price x (1 - margin)</t>
        </is>
      </c>
    </row>
    <row r="18">
      <c r="B18" t="inlineStr">
        <is>
          <t>Implied cost per km</t>
        </is>
      </c>
      <c r="C18" s="13">
        <f>C17/C7</f>
        <v/>
      </c>
      <c r="D18" s="5" t="inlineStr"/>
    </row>
    <row r="20">
      <c r="B20" s="2" t="inlineStr">
        <is>
          <t>3. V: variable cost, THB per km (scales with distance)</t>
        </is>
      </c>
      <c r="C20" s="3" t="n"/>
      <c r="D20" s="3" t="n"/>
    </row>
    <row r="21">
      <c r="B21" t="inlineStr">
        <is>
          <t>Fuel</t>
        </is>
      </c>
      <c r="C21" s="14">
        <f>C11/INDEX(Inputs!$C$4:$L$4,$C$12)</f>
        <v/>
      </c>
      <c r="D21" s="5" t="inlineStr">
        <is>
          <t>diesel price / km per litre</t>
        </is>
      </c>
    </row>
    <row r="22">
      <c r="B22" t="inlineStr">
        <is>
          <t>Oil + filter</t>
        </is>
      </c>
      <c r="C22" s="14">
        <f>INDEX(Inputs!$C$5:$L$5,$C$12)/INDEX(Inputs!$C$6:$L$6,$C$12)</f>
        <v/>
      </c>
      <c r="D22" s="5" t="inlineStr">
        <is>
          <t>cost per change / change interval</t>
        </is>
      </c>
    </row>
    <row r="23">
      <c r="B23" t="inlineStr">
        <is>
          <t>Tyres</t>
        </is>
      </c>
      <c r="C23" s="14">
        <f>INDEX(Inputs!$C$7:$L$7,$C$12)*INDEX(Inputs!$C$8:$L$8,$C$12)/INDEX(Inputs!$C$9:$L$9,$C$12)</f>
        <v/>
      </c>
      <c r="D23" s="5" t="inlineStr">
        <is>
          <t>tyres x price / tyre life</t>
        </is>
      </c>
    </row>
    <row r="24">
      <c r="B24" t="inlineStr">
        <is>
          <t>Maintenance</t>
        </is>
      </c>
      <c r="C24" s="14">
        <f>INDEX(Inputs!$C$10:$L$10,$C$12)</f>
        <v/>
      </c>
      <c r="D24" s="5" t="inlineStr">
        <is>
          <t>assumption from workbook</t>
        </is>
      </c>
    </row>
    <row r="25">
      <c r="B25" t="inlineStr">
        <is>
          <t>V  (total variable, THB/km)</t>
        </is>
      </c>
      <c r="C25" s="15">
        <f>SUM(C21:C24)</f>
        <v/>
      </c>
      <c r="D25" s="5" t="inlineStr">
        <is>
          <t>the slope</t>
        </is>
      </c>
    </row>
    <row r="27">
      <c r="B27" s="2" t="inlineStr">
        <is>
          <t>4. F: fixed cost per trip, THB (does not scale with km)</t>
        </is>
      </c>
      <c r="C27" s="3" t="n"/>
      <c r="D27" s="3" t="n"/>
    </row>
    <row r="28">
      <c r="B28" t="inlineStr">
        <is>
          <t>Driver allowance</t>
        </is>
      </c>
      <c r="C28" s="12">
        <f>INDEX(Inputs!$C$14:$L$14,$C$12)*IF(C7&gt;INDEX(Inputs!$C$22:$L$22,$C$12),2,1)</f>
        <v/>
      </c>
      <c r="D28" s="5" t="inlineStr">
        <is>
          <t>base rate, doubled if billable km &gt; threshold</t>
        </is>
      </c>
    </row>
    <row r="29">
      <c r="B29" t="inlineStr">
        <is>
          <t>Non-receipt expenses (tolls etc.)</t>
        </is>
      </c>
      <c r="C29" s="12">
        <f>INDEX(Inputs!$C$17:$L$17,$C$12)*IF(C7&gt;INDEX(Inputs!$C$22:$L$22,$C$12),2,1)</f>
        <v/>
      </c>
      <c r="D29" s="5" t="inlineStr">
        <is>
          <t>base rate, doubled if billable km &gt; threshold</t>
        </is>
      </c>
    </row>
    <row r="30">
      <c r="B30" t="inlineStr">
        <is>
          <t>Driver salary</t>
        </is>
      </c>
      <c r="C30" s="12">
        <f>INDEX(Inputs!$C$13:$L$13,$C$12)/C10</f>
        <v/>
      </c>
      <c r="D30" s="5" t="inlineStr">
        <is>
          <t>per month / trips per month</t>
        </is>
      </c>
    </row>
    <row r="31">
      <c r="B31" t="inlineStr">
        <is>
          <t>Office overhead</t>
        </is>
      </c>
      <c r="C31" s="12">
        <f>INDEX(Inputs!$C$18:$L$18,$C$12)/C10</f>
        <v/>
      </c>
      <c r="D31" s="5" t="inlineStr">
        <is>
          <t>per month / trips per month</t>
        </is>
      </c>
    </row>
    <row r="32">
      <c r="B32" t="inlineStr">
        <is>
          <t>Insurance</t>
        </is>
      </c>
      <c r="C32" s="12">
        <f>INDEX(Inputs!$C$15:$L$15,$C$12)/(C10*12)</f>
        <v/>
      </c>
      <c r="D32" s="5" t="inlineStr">
        <is>
          <t>per year / trips per year</t>
        </is>
      </c>
    </row>
    <row r="33">
      <c r="B33" t="inlineStr">
        <is>
          <t>Annual tax + GPS</t>
        </is>
      </c>
      <c r="C33" s="12">
        <f>INDEX(Inputs!$C$16:$L$16,$C$12)/(C10*12)</f>
        <v/>
      </c>
      <c r="D33" s="5" t="inlineStr">
        <is>
          <t>per year / trips per year</t>
        </is>
      </c>
    </row>
    <row r="34">
      <c r="B34" t="inlineStr">
        <is>
          <t>Depreciation</t>
        </is>
      </c>
      <c r="C34" s="12">
        <f>INDEX(Inputs!$C$19:$L$19,$C$12)*(1-INDEX(Inputs!$C$20:$L$20,$C$12))/INDEX(Inputs!$C$21:$L$21,$C$12)/(C10*12)</f>
        <v/>
      </c>
      <c r="D34" s="5" t="inlineStr">
        <is>
          <t>(price - salvage) / life / trips per year</t>
        </is>
      </c>
    </row>
    <row r="35">
      <c r="B35" t="inlineStr">
        <is>
          <t>Reefer genset fuel</t>
        </is>
      </c>
      <c r="C35" s="12">
        <f>IF(INDEX(Inputs!$C$11:$L$11,$C$12)&gt;0,INDEX(Inputs!$C$11:$L$11,$C$12)*(C5/INDEX(Inputs!$C$12:$L$12,$C$12))*C11,0)</f>
        <v/>
      </c>
      <c r="D35" s="5" t="inlineStr">
        <is>
          <t>L/hr x hours (one-way km / speed) x diesel price</t>
        </is>
      </c>
    </row>
    <row r="36">
      <c r="B36" t="inlineStr">
        <is>
          <t>F  (total fixed, THB/trip)</t>
        </is>
      </c>
      <c r="C36" s="13">
        <f>SUM(C28:C35)</f>
        <v/>
      </c>
      <c r="D36" s="5" t="inlineStr">
        <is>
          <t>the intercept</t>
        </is>
      </c>
    </row>
    <row r="38">
      <c r="B38" s="2" t="inlineStr">
        <is>
          <t>5. Model cost vs implied cost:  cost = V x km + F</t>
        </is>
      </c>
      <c r="C38" s="3" t="n"/>
      <c r="D38" s="3" t="n"/>
    </row>
    <row r="39">
      <c r="B39" t="inlineStr">
        <is>
          <t>Model cost per trip</t>
        </is>
      </c>
      <c r="C39" s="13">
        <f>C25*C7+C36</f>
        <v/>
      </c>
      <c r="D39" s="5" t="inlineStr">
        <is>
          <t>V x km + F</t>
        </is>
      </c>
    </row>
    <row r="40">
      <c r="B40" t="inlineStr">
        <is>
          <t>Model cost per km</t>
        </is>
      </c>
      <c r="C40" s="12">
        <f>C39/C7</f>
        <v/>
      </c>
      <c r="D40" s="5" t="inlineStr"/>
    </row>
    <row r="41">
      <c r="B41" t="inlineStr">
        <is>
          <t>Gap: implied cost - model cost (THB/trip)</t>
        </is>
      </c>
      <c r="C41" s="12">
        <f>C17-C39</f>
        <v/>
      </c>
      <c r="D41" s="5" t="inlineStr">
        <is>
          <t>&gt; 0: price implies MORE cost than the model explains</t>
        </is>
      </c>
    </row>
    <row r="42">
      <c r="B42" t="inlineStr">
        <is>
          <t>Margin actually earned if model cost is true</t>
        </is>
      </c>
      <c r="C42" s="16">
        <f>1-C39/C15</f>
        <v/>
      </c>
      <c r="D42" s="5" t="inlineStr">
        <is>
          <t>1 - model cost / price</t>
        </is>
      </c>
    </row>
    <row r="43">
      <c r="B43" t="inlineStr">
        <is>
          <t>Price/km needed for the target margin</t>
        </is>
      </c>
      <c r="C43" s="12">
        <f>C39/(1-C9)/C7</f>
        <v/>
      </c>
      <c r="D43" s="5" t="inlineStr">
        <is>
          <t>model cost / (1 - margin) / km</t>
        </is>
      </c>
    </row>
    <row r="45">
      <c r="B45" s="2" t="inlineStr">
        <is>
          <t>6. What would have to be true to close the gap (one lever at a time)</t>
        </is>
      </c>
      <c r="C45" s="3" t="n"/>
      <c r="D45" s="3" t="n"/>
    </row>
    <row r="46">
      <c r="B46" t="inlineStr">
        <is>
          <t>Diesel price (THB/L) that reproduces implied cost</t>
        </is>
      </c>
      <c r="C46" s="12">
        <f>(C17-(C39-C11*(C7/INDEX(Inputs!$C$4:$L$4,$C$12)+IF(INDEX(Inputs!$C$11:$L$11,$C$12)&gt;0,INDEX(Inputs!$C$11:$L$11,$C$12)*C5/INDEX(Inputs!$C$12:$L$12,$C$12),0))))/(C7/INDEX(Inputs!$C$4:$L$4,$C$12)+IF(INDEX(Inputs!$C$11:$L$11,$C$12)&gt;0,INDEX(Inputs!$C$11:$L$11,$C$12)*C5/INDEX(Inputs!$C$12:$L$12,$C$12),0))</f>
        <v/>
      </c>
      <c r="D46" s="5" t="inlineStr">
        <is>
          <t>solves fuel (+ genset) for the gap</t>
        </is>
      </c>
    </row>
    <row r="47">
      <c r="B47" t="inlineStr">
        <is>
          <t>Trips/month that reproduces implied cost</t>
        </is>
      </c>
      <c r="C47" s="17">
        <f>IF(C17-C25*C7-(C28+C29+C35)&gt;0,(INDEX(Inputs!$C$13:$L$13,$C$12)+INDEX(Inputs!$C$18:$L$18,$C$12)+(INDEX(Inputs!$C$15:$L$15,$C$12)+INDEX(Inputs!$C$16:$L$16,$C$12)+INDEX(Inputs!$C$19:$L$19,$C$12)*(1-INDEX(Inputs!$C$20:$L$20,$C$12))/INDEX(Inputs!$C$21:$L$21,$C$12))/12)/(C17-C25*C7-(C28+C29+C35)),"n/a: implied cost below variable+trip costs")</f>
        <v/>
      </c>
      <c r="D47" s="5" t="inlineStr">
        <is>
          <t>salary, overhead, insurance, tax, depreciation depend on utilisation</t>
        </is>
      </c>
    </row>
    <row r="48">
      <c r="B48" t="inlineStr">
        <is>
          <t>Share of model cost that is fixed (F / cost)</t>
        </is>
      </c>
      <c r="C48" s="18">
        <f>C36/C39</f>
        <v/>
      </c>
      <c r="D48" s="5" t="inlineStr">
        <is>
          <t>the higher, the more utilisation matters</t>
        </is>
      </c>
    </row>
    <row r="50">
      <c r="B50" s="2" t="inlineStr">
        <is>
          <t>7. Cost curve for this class (V x km + F at each distance)</t>
        </is>
      </c>
      <c r="C50" s="3" t="n"/>
      <c r="D50" s="3" t="n"/>
    </row>
    <row r="51">
      <c r="B51" s="19" t="inlineStr">
        <is>
          <t>Billable km</t>
        </is>
      </c>
      <c r="C51" s="19" t="inlineStr">
        <is>
          <t>Cost / trip</t>
        </is>
      </c>
      <c r="D51" s="19" t="inlineStr">
        <is>
          <t>Cost / km</t>
        </is>
      </c>
      <c r="E51" s="19" t="inlineStr">
        <is>
          <t>Price / trip</t>
        </is>
      </c>
      <c r="F51" s="19" t="inlineStr">
        <is>
          <t>Price / km</t>
        </is>
      </c>
    </row>
    <row r="52">
      <c r="B52" s="20" t="n">
        <v>50</v>
      </c>
      <c r="C52" s="8">
        <f>$C$25*B52+INDEX(Inputs!$C$14:$L$14,$C$12)*IF(B52&gt;INDEX(Inputs!$C$22:$L$22,$C$12),2,1)+INDEX(Inputs!$C$17:$L$17,$C$12)*IF(B52&gt;INDEX(Inputs!$C$22:$L$22,$C$12),2,1)+SUM($C$30:$C$34)+IF(INDEX(Inputs!$C$11:$L$11,$C$12)&gt;0,INDEX(Inputs!$C$11:$L$11,$C$12)*(B52/$C$6/INDEX(Inputs!$C$12:$L$12,$C$12))*$C$11,0)</f>
        <v/>
      </c>
      <c r="D52" s="12">
        <f>C52/B52</f>
        <v/>
      </c>
      <c r="E52" s="8">
        <f>C52/(1-$C$9)</f>
        <v/>
      </c>
      <c r="F52" s="12">
        <f>E52/B52</f>
        <v/>
      </c>
    </row>
    <row r="53">
      <c r="B53" s="20" t="n">
        <v>100</v>
      </c>
      <c r="C53" s="8">
        <f>$C$25*B53+INDEX(Inputs!$C$14:$L$14,$C$12)*IF(B53&gt;INDEX(Inputs!$C$22:$L$22,$C$12),2,1)+INDEX(Inputs!$C$17:$L$17,$C$12)*IF(B53&gt;INDEX(Inputs!$C$22:$L$22,$C$12),2,1)+SUM($C$30:$C$34)+IF(INDEX(Inputs!$C$11:$L$11,$C$12)&gt;0,INDEX(Inputs!$C$11:$L$11,$C$12)*(B53/$C$6/INDEX(Inputs!$C$12:$L$12,$C$12))*$C$11,0)</f>
        <v/>
      </c>
      <c r="D53" s="12">
        <f>C53/B53</f>
        <v/>
      </c>
      <c r="E53" s="8">
        <f>C53/(1-$C$9)</f>
        <v/>
      </c>
      <c r="F53" s="12">
        <f>E53/B53</f>
        <v/>
      </c>
    </row>
    <row r="54">
      <c r="B54" s="20" t="n">
        <v>150</v>
      </c>
      <c r="C54" s="8">
        <f>$C$25*B54+INDEX(Inputs!$C$14:$L$14,$C$12)*IF(B54&gt;INDEX(Inputs!$C$22:$L$22,$C$12),2,1)+INDEX(Inputs!$C$17:$L$17,$C$12)*IF(B54&gt;INDEX(Inputs!$C$22:$L$22,$C$12),2,1)+SUM($C$30:$C$34)+IF(INDEX(Inputs!$C$11:$L$11,$C$12)&gt;0,INDEX(Inputs!$C$11:$L$11,$C$12)*(B54/$C$6/INDEX(Inputs!$C$12:$L$12,$C$12))*$C$11,0)</f>
        <v/>
      </c>
      <c r="D54" s="12">
        <f>C54/B54</f>
        <v/>
      </c>
      <c r="E54" s="8">
        <f>C54/(1-$C$9)</f>
        <v/>
      </c>
      <c r="F54" s="12">
        <f>E54/B54</f>
        <v/>
      </c>
    </row>
    <row r="55">
      <c r="B55" s="20" t="n">
        <v>200</v>
      </c>
      <c r="C55" s="8">
        <f>$C$25*B55+INDEX(Inputs!$C$14:$L$14,$C$12)*IF(B55&gt;INDEX(Inputs!$C$22:$L$22,$C$12),2,1)+INDEX(Inputs!$C$17:$L$17,$C$12)*IF(B55&gt;INDEX(Inputs!$C$22:$L$22,$C$12),2,1)+SUM($C$30:$C$34)+IF(INDEX(Inputs!$C$11:$L$11,$C$12)&gt;0,INDEX(Inputs!$C$11:$L$11,$C$12)*(B55/$C$6/INDEX(Inputs!$C$12:$L$12,$C$12))*$C$11,0)</f>
        <v/>
      </c>
      <c r="D55" s="12">
        <f>C55/B55</f>
        <v/>
      </c>
      <c r="E55" s="8">
        <f>C55/(1-$C$9)</f>
        <v/>
      </c>
      <c r="F55" s="12">
        <f>E55/B55</f>
        <v/>
      </c>
    </row>
    <row r="56">
      <c r="B56" s="20" t="n">
        <v>250</v>
      </c>
      <c r="C56" s="8">
        <f>$C$25*B56+INDEX(Inputs!$C$14:$L$14,$C$12)*IF(B56&gt;INDEX(Inputs!$C$22:$L$22,$C$12),2,1)+INDEX(Inputs!$C$17:$L$17,$C$12)*IF(B56&gt;INDEX(Inputs!$C$22:$L$22,$C$12),2,1)+SUM($C$30:$C$34)+IF(INDEX(Inputs!$C$11:$L$11,$C$12)&gt;0,INDEX(Inputs!$C$11:$L$11,$C$12)*(B56/$C$6/INDEX(Inputs!$C$12:$L$12,$C$12))*$C$11,0)</f>
        <v/>
      </c>
      <c r="D56" s="12">
        <f>C56/B56</f>
        <v/>
      </c>
      <c r="E56" s="8">
        <f>C56/(1-$C$9)</f>
        <v/>
      </c>
      <c r="F56" s="12">
        <f>E56/B56</f>
        <v/>
      </c>
    </row>
    <row r="57">
      <c r="B57" s="20" t="n">
        <v>300</v>
      </c>
      <c r="C57" s="8">
        <f>$C$25*B57+INDEX(Inputs!$C$14:$L$14,$C$12)*IF(B57&gt;INDEX(Inputs!$C$22:$L$22,$C$12),2,1)+INDEX(Inputs!$C$17:$L$17,$C$12)*IF(B57&gt;INDEX(Inputs!$C$22:$L$22,$C$12),2,1)+SUM($C$30:$C$34)+IF(INDEX(Inputs!$C$11:$L$11,$C$12)&gt;0,INDEX(Inputs!$C$11:$L$11,$C$12)*(B57/$C$6/INDEX(Inputs!$C$12:$L$12,$C$12))*$C$11,0)</f>
        <v/>
      </c>
      <c r="D57" s="12">
        <f>C57/B57</f>
        <v/>
      </c>
      <c r="E57" s="8">
        <f>C57/(1-$C$9)</f>
        <v/>
      </c>
      <c r="F57" s="12">
        <f>E57/B57</f>
        <v/>
      </c>
    </row>
    <row r="58">
      <c r="B58" s="20" t="n">
        <v>350</v>
      </c>
      <c r="C58" s="8">
        <f>$C$25*B58+INDEX(Inputs!$C$14:$L$14,$C$12)*IF(B58&gt;INDEX(Inputs!$C$22:$L$22,$C$12),2,1)+INDEX(Inputs!$C$17:$L$17,$C$12)*IF(B58&gt;INDEX(Inputs!$C$22:$L$22,$C$12),2,1)+SUM($C$30:$C$34)+IF(INDEX(Inputs!$C$11:$L$11,$C$12)&gt;0,INDEX(Inputs!$C$11:$L$11,$C$12)*(B58/$C$6/INDEX(Inputs!$C$12:$L$12,$C$12))*$C$11,0)</f>
        <v/>
      </c>
      <c r="D58" s="12">
        <f>C58/B58</f>
        <v/>
      </c>
      <c r="E58" s="8">
        <f>C58/(1-$C$9)</f>
        <v/>
      </c>
      <c r="F58" s="12">
        <f>E58/B58</f>
        <v/>
      </c>
    </row>
    <row r="59">
      <c r="B59" s="20" t="n">
        <v>400</v>
      </c>
      <c r="C59" s="8">
        <f>$C$25*B59+INDEX(Inputs!$C$14:$L$14,$C$12)*IF(B59&gt;INDEX(Inputs!$C$22:$L$22,$C$12),2,1)+INDEX(Inputs!$C$17:$L$17,$C$12)*IF(B59&gt;INDEX(Inputs!$C$22:$L$22,$C$12),2,1)+SUM($C$30:$C$34)+IF(INDEX(Inputs!$C$11:$L$11,$C$12)&gt;0,INDEX(Inputs!$C$11:$L$11,$C$12)*(B59/$C$6/INDEX(Inputs!$C$12:$L$12,$C$12))*$C$11,0)</f>
        <v/>
      </c>
      <c r="D59" s="12">
        <f>C59/B59</f>
        <v/>
      </c>
      <c r="E59" s="8">
        <f>C59/(1-$C$9)</f>
        <v/>
      </c>
      <c r="F59" s="12">
        <f>E59/B59</f>
        <v/>
      </c>
    </row>
    <row r="60">
      <c r="B60" s="20" t="n">
        <v>450</v>
      </c>
      <c r="C60" s="8">
        <f>$C$25*B60+INDEX(Inputs!$C$14:$L$14,$C$12)*IF(B60&gt;INDEX(Inputs!$C$22:$L$22,$C$12),2,1)+INDEX(Inputs!$C$17:$L$17,$C$12)*IF(B60&gt;INDEX(Inputs!$C$22:$L$22,$C$12),2,1)+SUM($C$30:$C$34)+IF(INDEX(Inputs!$C$11:$L$11,$C$12)&gt;0,INDEX(Inputs!$C$11:$L$11,$C$12)*(B60/$C$6/INDEX(Inputs!$C$12:$L$12,$C$12))*$C$11,0)</f>
        <v/>
      </c>
      <c r="D60" s="12">
        <f>C60/B60</f>
        <v/>
      </c>
      <c r="E60" s="8">
        <f>C60/(1-$C$9)</f>
        <v/>
      </c>
      <c r="F60" s="12">
        <f>E60/B60</f>
        <v/>
      </c>
    </row>
    <row r="61">
      <c r="B61" s="20" t="n">
        <v>500</v>
      </c>
      <c r="C61" s="8">
        <f>$C$25*B61+INDEX(Inputs!$C$14:$L$14,$C$12)*IF(B61&gt;INDEX(Inputs!$C$22:$L$22,$C$12),2,1)+INDEX(Inputs!$C$17:$L$17,$C$12)*IF(B61&gt;INDEX(Inputs!$C$22:$L$22,$C$12),2,1)+SUM($C$30:$C$34)+IF(INDEX(Inputs!$C$11:$L$11,$C$12)&gt;0,INDEX(Inputs!$C$11:$L$11,$C$12)*(B61/$C$6/INDEX(Inputs!$C$12:$L$12,$C$12))*$C$11,0)</f>
        <v/>
      </c>
      <c r="D61" s="12">
        <f>C61/B61</f>
        <v/>
      </c>
      <c r="E61" s="8">
        <f>C61/(1-$C$9)</f>
        <v/>
      </c>
      <c r="F61" s="12">
        <f>E61/B61</f>
        <v/>
      </c>
    </row>
    <row r="62">
      <c r="B62" s="20" t="n">
        <v>550</v>
      </c>
      <c r="C62" s="8">
        <f>$C$25*B62+INDEX(Inputs!$C$14:$L$14,$C$12)*IF(B62&gt;INDEX(Inputs!$C$22:$L$22,$C$12),2,1)+INDEX(Inputs!$C$17:$L$17,$C$12)*IF(B62&gt;INDEX(Inputs!$C$22:$L$22,$C$12),2,1)+SUM($C$30:$C$34)+IF(INDEX(Inputs!$C$11:$L$11,$C$12)&gt;0,INDEX(Inputs!$C$11:$L$11,$C$12)*(B62/$C$6/INDEX(Inputs!$C$12:$L$12,$C$12))*$C$11,0)</f>
        <v/>
      </c>
      <c r="D62" s="12">
        <f>C62/B62</f>
        <v/>
      </c>
      <c r="E62" s="8">
        <f>C62/(1-$C$9)</f>
        <v/>
      </c>
      <c r="F62" s="12">
        <f>E62/B62</f>
        <v/>
      </c>
    </row>
    <row r="63">
      <c r="B63" s="20" t="n">
        <v>600</v>
      </c>
      <c r="C63" s="8">
        <f>$C$25*B63+INDEX(Inputs!$C$14:$L$14,$C$12)*IF(B63&gt;INDEX(Inputs!$C$22:$L$22,$C$12),2,1)+INDEX(Inputs!$C$17:$L$17,$C$12)*IF(B63&gt;INDEX(Inputs!$C$22:$L$22,$C$12),2,1)+SUM($C$30:$C$34)+IF(INDEX(Inputs!$C$11:$L$11,$C$12)&gt;0,INDEX(Inputs!$C$11:$L$11,$C$12)*(B63/$C$6/INDEX(Inputs!$C$12:$L$12,$C$12))*$C$11,0)</f>
        <v/>
      </c>
      <c r="D63" s="12">
        <f>C63/B63</f>
        <v/>
      </c>
      <c r="E63" s="8">
        <f>C63/(1-$C$9)</f>
        <v/>
      </c>
      <c r="F63" s="12">
        <f>E63/B63</f>
        <v/>
      </c>
    </row>
    <row r="64">
      <c r="B64" s="20" t="n">
        <v>650</v>
      </c>
      <c r="C64" s="8">
        <f>$C$25*B64+INDEX(Inputs!$C$14:$L$14,$C$12)*IF(B64&gt;INDEX(Inputs!$C$22:$L$22,$C$12),2,1)+INDEX(Inputs!$C$17:$L$17,$C$12)*IF(B64&gt;INDEX(Inputs!$C$22:$L$22,$C$12),2,1)+SUM($C$30:$C$34)+IF(INDEX(Inputs!$C$11:$L$11,$C$12)&gt;0,INDEX(Inputs!$C$11:$L$11,$C$12)*(B64/$C$6/INDEX(Inputs!$C$12:$L$12,$C$12))*$C$11,0)</f>
        <v/>
      </c>
      <c r="D64" s="12">
        <f>C64/B64</f>
        <v/>
      </c>
      <c r="E64" s="8">
        <f>C64/(1-$C$9)</f>
        <v/>
      </c>
      <c r="F64" s="12">
        <f>E64/B64</f>
        <v/>
      </c>
    </row>
  </sheetData>
  <dataValidations count="1">
    <dataValidation sqref="C4" showDropDown="0" showInputMessage="0" showErrorMessage="0" allowBlank="0" type="list">
      <formula1>=Inputs!$C$3:$L$3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  <col width="18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21" t="inlineStr">
        <is>
          <t>Per-class assumptions (values copied from PLP Cost Structure.xlsx &gt; Assumption). Edit blue cells.</t>
        </is>
      </c>
    </row>
    <row r="3">
      <c r="A3" s="22" t="inlineStr">
        <is>
          <t>Item</t>
        </is>
      </c>
      <c r="B3" s="22" t="inlineStr">
        <is>
          <t>Unit</t>
        </is>
      </c>
      <c r="C3" s="22" t="inlineStr">
        <is>
          <t>4W - Dry</t>
        </is>
      </c>
      <c r="D3" s="22" t="inlineStr">
        <is>
          <t>4W - Reefer</t>
        </is>
      </c>
      <c r="E3" s="22" t="inlineStr">
        <is>
          <t>6W - Dry</t>
        </is>
      </c>
      <c r="F3" s="22" t="inlineStr">
        <is>
          <t>6W - Reefer</t>
        </is>
      </c>
      <c r="G3" s="22" t="inlineStr">
        <is>
          <t>10W - Dry</t>
        </is>
      </c>
      <c r="H3" s="22" t="inlineStr">
        <is>
          <t>10W - Reefer</t>
        </is>
      </c>
      <c r="I3" s="22" t="inlineStr">
        <is>
          <t>Container - Dry</t>
        </is>
      </c>
      <c r="J3" s="22" t="inlineStr">
        <is>
          <t>Container - Reefer</t>
        </is>
      </c>
      <c r="K3" s="22" t="inlineStr">
        <is>
          <t>Drayage - Dry</t>
        </is>
      </c>
      <c r="L3" s="22" t="inlineStr">
        <is>
          <t>Drayage - Reefer</t>
        </is>
      </c>
    </row>
    <row r="4">
      <c r="A4" t="inlineStr">
        <is>
          <t>Fuel economy  (src row 15)</t>
        </is>
      </c>
      <c r="B4" t="inlineStr">
        <is>
          <t>km/L</t>
        </is>
      </c>
      <c r="C4" s="23" t="n">
        <v>9.6</v>
      </c>
      <c r="D4" s="23" t="n">
        <v>9.6</v>
      </c>
      <c r="E4" s="23" t="n">
        <v>3.8</v>
      </c>
      <c r="F4" s="23" t="n">
        <v>3.8</v>
      </c>
      <c r="G4" s="23" t="n">
        <v>3.4</v>
      </c>
      <c r="H4" s="23" t="n">
        <v>3.4</v>
      </c>
      <c r="I4" s="23" t="n">
        <v>2.5</v>
      </c>
      <c r="J4" s="23" t="n">
        <v>2.5</v>
      </c>
      <c r="K4" s="23" t="n">
        <v>2.5</v>
      </c>
      <c r="L4" s="23" t="n">
        <v>2.5</v>
      </c>
    </row>
    <row r="5">
      <c r="A5" t="inlineStr">
        <is>
          <t>Oil + filter cost per change  (src row 17)</t>
        </is>
      </c>
      <c r="B5" t="inlineStr">
        <is>
          <t>THB</t>
        </is>
      </c>
      <c r="C5" s="23" t="n">
        <v>1500</v>
      </c>
      <c r="D5" s="23" t="n">
        <v>1500</v>
      </c>
      <c r="E5" s="23" t="n">
        <v>3000</v>
      </c>
      <c r="F5" s="23" t="n">
        <v>3000</v>
      </c>
      <c r="G5" s="23" t="n">
        <v>6000</v>
      </c>
      <c r="H5" s="23" t="n">
        <v>6000</v>
      </c>
      <c r="I5" s="23" t="n">
        <v>10000</v>
      </c>
      <c r="J5" s="23" t="n">
        <v>10000</v>
      </c>
      <c r="K5" s="23" t="n">
        <v>10000</v>
      </c>
      <c r="L5" s="23" t="n">
        <v>10000</v>
      </c>
    </row>
    <row r="6">
      <c r="A6" t="inlineStr">
        <is>
          <t>Oil change interval  (src row 18)</t>
        </is>
      </c>
      <c r="B6" t="inlineStr">
        <is>
          <t>km</t>
        </is>
      </c>
      <c r="C6" s="23" t="n">
        <v>10000</v>
      </c>
      <c r="D6" s="23" t="n">
        <v>10000</v>
      </c>
      <c r="E6" s="23" t="n">
        <v>10000</v>
      </c>
      <c r="F6" s="23" t="n">
        <v>10000</v>
      </c>
      <c r="G6" s="23" t="n">
        <v>10000</v>
      </c>
      <c r="H6" s="23" t="n">
        <v>10000</v>
      </c>
      <c r="I6" s="23" t="n">
        <v>10000</v>
      </c>
      <c r="J6" s="23" t="n">
        <v>10000</v>
      </c>
      <c r="K6" s="23" t="n">
        <v>10000</v>
      </c>
      <c r="L6" s="23" t="n">
        <v>10000</v>
      </c>
    </row>
    <row r="7">
      <c r="A7" t="inlineStr">
        <is>
          <t>Tyres per vehicle  (src row 20)</t>
        </is>
      </c>
      <c r="B7" t="inlineStr">
        <is>
          <t>count</t>
        </is>
      </c>
      <c r="C7" s="23" t="n">
        <v>4</v>
      </c>
      <c r="D7" s="23" t="n">
        <v>4</v>
      </c>
      <c r="E7" s="23" t="n">
        <v>6</v>
      </c>
      <c r="F7" s="23" t="n">
        <v>6</v>
      </c>
      <c r="G7" s="23" t="n">
        <v>10</v>
      </c>
      <c r="H7" s="23" t="n">
        <v>10</v>
      </c>
      <c r="I7" s="23" t="n">
        <v>22</v>
      </c>
      <c r="J7" s="23" t="n">
        <v>22</v>
      </c>
      <c r="K7" s="23" t="n">
        <v>22</v>
      </c>
      <c r="L7" s="23" t="n">
        <v>22</v>
      </c>
    </row>
    <row r="8">
      <c r="A8" t="inlineStr">
        <is>
          <t>Price per tyre  (src row 21)</t>
        </is>
      </c>
      <c r="B8" t="inlineStr">
        <is>
          <t>THB</t>
        </is>
      </c>
      <c r="C8" s="23" t="n">
        <v>3500</v>
      </c>
      <c r="D8" s="23" t="n">
        <v>3500</v>
      </c>
      <c r="E8" s="23" t="n">
        <v>5000</v>
      </c>
      <c r="F8" s="23" t="n">
        <v>5000</v>
      </c>
      <c r="G8" s="23" t="n">
        <v>6000</v>
      </c>
      <c r="H8" s="23" t="n">
        <v>6000</v>
      </c>
      <c r="I8" s="23" t="n">
        <v>10000</v>
      </c>
      <c r="J8" s="23" t="n">
        <v>10000</v>
      </c>
      <c r="K8" s="23" t="n">
        <v>10000</v>
      </c>
      <c r="L8" s="23" t="n">
        <v>10000</v>
      </c>
    </row>
    <row r="9">
      <c r="A9" t="inlineStr">
        <is>
          <t>Tyre life  (src row 23)</t>
        </is>
      </c>
      <c r="B9" t="inlineStr">
        <is>
          <t>km</t>
        </is>
      </c>
      <c r="C9" s="23" t="n">
        <v>50000</v>
      </c>
      <c r="D9" s="23" t="n">
        <v>50000</v>
      </c>
      <c r="E9" s="23" t="n">
        <v>80000</v>
      </c>
      <c r="F9" s="23" t="n">
        <v>80000</v>
      </c>
      <c r="G9" s="23" t="n">
        <v>100000</v>
      </c>
      <c r="H9" s="23" t="n">
        <v>100000</v>
      </c>
      <c r="I9" s="23" t="n">
        <v>100000</v>
      </c>
      <c r="J9" s="23" t="n">
        <v>100000</v>
      </c>
      <c r="K9" s="23" t="n">
        <v>100000</v>
      </c>
      <c r="L9" s="23" t="n">
        <v>100000</v>
      </c>
    </row>
    <row r="10">
      <c r="A10" t="inlineStr">
        <is>
          <t>Maintenance  (src row 25)</t>
        </is>
      </c>
      <c r="B10" t="inlineStr">
        <is>
          <t>THB/km</t>
        </is>
      </c>
      <c r="C10" s="23" t="n">
        <v>0.4</v>
      </c>
      <c r="D10" s="23" t="n">
        <v>0.4</v>
      </c>
      <c r="E10" s="23" t="n">
        <v>1.1</v>
      </c>
      <c r="F10" s="23" t="n">
        <v>1.1</v>
      </c>
      <c r="G10" s="23" t="n">
        <v>1.5</v>
      </c>
      <c r="H10" s="23" t="n">
        <v>1.5</v>
      </c>
      <c r="I10" s="23" t="n">
        <v>1.5</v>
      </c>
      <c r="J10" s="23" t="n">
        <v>1.5</v>
      </c>
      <c r="K10" s="23" t="n">
        <v>1.5</v>
      </c>
      <c r="L10" s="23" t="n">
        <v>1.5</v>
      </c>
    </row>
    <row r="11">
      <c r="A11" t="inlineStr">
        <is>
          <t>Reefer genset consumption  (src row 28)</t>
        </is>
      </c>
      <c r="B11" t="inlineStr">
        <is>
          <t>L/hr</t>
        </is>
      </c>
      <c r="C11" s="23" t="n">
        <v>0</v>
      </c>
      <c r="D11" s="23" t="n">
        <v>3.75</v>
      </c>
      <c r="E11" s="23" t="n">
        <v>0</v>
      </c>
      <c r="F11" s="23" t="n">
        <v>3.75</v>
      </c>
      <c r="G11" s="23" t="n">
        <v>0</v>
      </c>
      <c r="H11" s="23" t="n">
        <v>3.75</v>
      </c>
      <c r="I11" s="23" t="n">
        <v>0</v>
      </c>
      <c r="J11" s="23" t="n">
        <v>4</v>
      </c>
      <c r="K11" s="23" t="n">
        <v>0</v>
      </c>
      <c r="L11" s="23" t="n">
        <v>4</v>
      </c>
    </row>
    <row r="12">
      <c r="A12" t="inlineStr">
        <is>
          <t>Average speed  (src row 29)</t>
        </is>
      </c>
      <c r="B12" t="inlineStr">
        <is>
          <t>km/hr</t>
        </is>
      </c>
      <c r="C12" s="23" t="n">
        <v>90</v>
      </c>
      <c r="D12" s="23" t="n">
        <v>90</v>
      </c>
      <c r="E12" s="23" t="n">
        <v>90</v>
      </c>
      <c r="F12" s="23" t="n">
        <v>90</v>
      </c>
      <c r="G12" s="23" t="n">
        <v>90</v>
      </c>
      <c r="H12" s="23" t="n">
        <v>90</v>
      </c>
      <c r="I12" s="23" t="n">
        <v>65</v>
      </c>
      <c r="J12" s="23" t="n">
        <v>65</v>
      </c>
      <c r="K12" s="23" t="n">
        <v>65</v>
      </c>
      <c r="L12" s="23" t="n">
        <v>65</v>
      </c>
    </row>
    <row r="13">
      <c r="A13" t="inlineStr">
        <is>
          <t>Driver salary  (src row 35)</t>
        </is>
      </c>
      <c r="B13" t="inlineStr">
        <is>
          <t>THB/month</t>
        </is>
      </c>
      <c r="C13" s="23" t="n">
        <v>12000</v>
      </c>
      <c r="D13" s="23" t="n">
        <v>12000</v>
      </c>
      <c r="E13" s="23" t="n">
        <v>12000</v>
      </c>
      <c r="F13" s="23" t="n">
        <v>12000</v>
      </c>
      <c r="G13" s="23" t="n">
        <v>12000</v>
      </c>
      <c r="H13" s="23" t="n">
        <v>12000</v>
      </c>
      <c r="I13" s="23" t="n">
        <v>12000</v>
      </c>
      <c r="J13" s="23" t="n">
        <v>12000</v>
      </c>
      <c r="K13" s="23">
        <f>30*400</f>
        <v/>
      </c>
      <c r="L13" s="23" t="n">
        <v>12000</v>
      </c>
    </row>
    <row r="14">
      <c r="A14" t="inlineStr">
        <is>
          <t>Driver allowance (base rate)  (src row 45)</t>
        </is>
      </c>
      <c r="B14" t="inlineStr">
        <is>
          <t>THB/trip</t>
        </is>
      </c>
      <c r="C14" s="23" t="n">
        <v>300</v>
      </c>
      <c r="D14" s="23" t="n">
        <v>300</v>
      </c>
      <c r="E14" s="23" t="n">
        <v>400</v>
      </c>
      <c r="F14" s="23" t="n">
        <v>400</v>
      </c>
      <c r="G14" s="23" t="n">
        <v>500</v>
      </c>
      <c r="H14" s="23" t="n">
        <v>500</v>
      </c>
      <c r="I14" s="23" t="n">
        <v>500</v>
      </c>
      <c r="J14" s="23" t="n">
        <v>500</v>
      </c>
      <c r="K14" s="23" t="n">
        <v>500</v>
      </c>
      <c r="L14" s="23" t="n">
        <v>500</v>
      </c>
    </row>
    <row r="15">
      <c r="A15" t="inlineStr">
        <is>
          <t>Insurance (cargo + vehicle)  (src row 37)</t>
        </is>
      </c>
      <c r="B15" t="inlineStr">
        <is>
          <t>THB/year</t>
        </is>
      </c>
      <c r="C15" s="23" t="n">
        <v>25000</v>
      </c>
      <c r="D15" s="23" t="n">
        <v>25000</v>
      </c>
      <c r="E15" s="23" t="n">
        <v>40000</v>
      </c>
      <c r="F15" s="23" t="n">
        <v>40000</v>
      </c>
      <c r="G15" s="23" t="n">
        <v>60000</v>
      </c>
      <c r="H15" s="23" t="n">
        <v>60000</v>
      </c>
      <c r="I15" s="23" t="n">
        <v>110000</v>
      </c>
      <c r="J15" s="23" t="n">
        <v>120000</v>
      </c>
      <c r="K15" s="23" t="n">
        <v>110000</v>
      </c>
      <c r="L15" s="23" t="n">
        <v>120000</v>
      </c>
    </row>
    <row r="16">
      <c r="A16" t="inlineStr">
        <is>
          <t>Annual tax + GPS  (src row 38)</t>
        </is>
      </c>
      <c r="B16" t="inlineStr">
        <is>
          <t>THB/year</t>
        </is>
      </c>
      <c r="C16" s="23" t="n">
        <v>5000</v>
      </c>
      <c r="D16" s="23" t="n">
        <v>5000</v>
      </c>
      <c r="E16" s="23" t="n">
        <v>6500</v>
      </c>
      <c r="F16" s="23" t="n">
        <v>6500</v>
      </c>
      <c r="G16" s="23" t="n">
        <v>8000</v>
      </c>
      <c r="H16" s="23" t="n">
        <v>8000</v>
      </c>
      <c r="I16" s="23" t="n">
        <v>10000</v>
      </c>
      <c r="J16" s="23" t="n">
        <v>10000</v>
      </c>
      <c r="K16" s="23" t="n">
        <v>10000</v>
      </c>
      <c r="L16" s="23" t="n">
        <v>10000</v>
      </c>
    </row>
    <row r="17">
      <c r="A17" t="inlineStr">
        <is>
          <t>Non-receipt expenses (base rate)  (src row 46)</t>
        </is>
      </c>
      <c r="B17" t="inlineStr">
        <is>
          <t>THB/trip</t>
        </is>
      </c>
      <c r="C17" s="23" t="n">
        <v>200</v>
      </c>
      <c r="D17" s="23" t="n">
        <v>200</v>
      </c>
      <c r="E17" s="23" t="n">
        <v>250</v>
      </c>
      <c r="F17" s="23" t="n">
        <v>250</v>
      </c>
      <c r="G17" s="23" t="n">
        <v>300</v>
      </c>
      <c r="H17" s="23" t="n">
        <v>300</v>
      </c>
      <c r="I17" s="23" t="n">
        <v>300</v>
      </c>
      <c r="J17" s="23" t="n">
        <v>300</v>
      </c>
      <c r="K17" s="23" t="n">
        <v>300</v>
      </c>
      <c r="L17" s="23" t="n">
        <v>300</v>
      </c>
    </row>
    <row r="18">
      <c r="A18" t="inlineStr">
        <is>
          <t>Office overhead  (src row 40)</t>
        </is>
      </c>
      <c r="B18" t="inlineStr">
        <is>
          <t>THB/vehicle/month</t>
        </is>
      </c>
      <c r="C18" s="23" t="n">
        <v>6000</v>
      </c>
      <c r="D18" s="23" t="n">
        <v>6000</v>
      </c>
      <c r="E18" s="23" t="n">
        <v>7000</v>
      </c>
      <c r="F18" s="23" t="n">
        <v>7000</v>
      </c>
      <c r="G18" s="23" t="n">
        <v>8000</v>
      </c>
      <c r="H18" s="23" t="n">
        <v>8000</v>
      </c>
      <c r="I18" s="23" t="n">
        <v>10000</v>
      </c>
      <c r="J18" s="23" t="n">
        <v>10000</v>
      </c>
      <c r="K18" s="23" t="n">
        <v>10000</v>
      </c>
      <c r="L18" s="23" t="n">
        <v>10000</v>
      </c>
    </row>
    <row r="19">
      <c r="A19" t="inlineStr">
        <is>
          <t>Vehicle price  (src row 41)</t>
        </is>
      </c>
      <c r="B19" t="inlineStr">
        <is>
          <t>THB</t>
        </is>
      </c>
      <c r="C19" s="23" t="n">
        <v>900000</v>
      </c>
      <c r="D19" s="23" t="n">
        <v>1300000</v>
      </c>
      <c r="E19" s="23" t="n">
        <v>1900000</v>
      </c>
      <c r="F19" s="23" t="n">
        <v>2600000</v>
      </c>
      <c r="G19" s="23" t="n">
        <v>2900000</v>
      </c>
      <c r="H19" s="23" t="n">
        <v>3700000</v>
      </c>
      <c r="I19" s="23" t="n">
        <v>4100000</v>
      </c>
      <c r="J19" s="23" t="n">
        <v>4600000</v>
      </c>
      <c r="K19" s="23" t="n">
        <v>4100000</v>
      </c>
      <c r="L19" s="23" t="n">
        <v>4600000</v>
      </c>
    </row>
    <row r="20">
      <c r="A20" t="inlineStr">
        <is>
          <t>Salvage value  (src row 42)</t>
        </is>
      </c>
      <c r="B20" t="inlineStr">
        <is>
          <t>% of price</t>
        </is>
      </c>
      <c r="C20" s="24" t="n">
        <v>0.05</v>
      </c>
      <c r="D20" s="24" t="n">
        <v>0.05</v>
      </c>
      <c r="E20" s="24" t="n">
        <v>0.05</v>
      </c>
      <c r="F20" s="24" t="n">
        <v>0.05</v>
      </c>
      <c r="G20" s="24" t="n">
        <v>0.05</v>
      </c>
      <c r="H20" s="24" t="n">
        <v>0.05</v>
      </c>
      <c r="I20" s="24" t="n">
        <v>0.05</v>
      </c>
      <c r="J20" s="24" t="n">
        <v>0.05</v>
      </c>
      <c r="K20" s="24" t="n">
        <v>0.05</v>
      </c>
      <c r="L20" s="24" t="n">
        <v>0.05</v>
      </c>
    </row>
    <row r="21">
      <c r="A21" t="inlineStr">
        <is>
          <t>Depreciation life  (src row 43)</t>
        </is>
      </c>
      <c r="B21" t="inlineStr">
        <is>
          <t>years</t>
        </is>
      </c>
      <c r="C21" s="23" t="n">
        <v>15</v>
      </c>
      <c r="D21" s="23" t="n">
        <v>15</v>
      </c>
      <c r="E21" s="23" t="n">
        <v>15</v>
      </c>
      <c r="F21" s="23" t="n">
        <v>15</v>
      </c>
      <c r="G21" s="23" t="n">
        <v>15</v>
      </c>
      <c r="H21" s="23" t="n">
        <v>15</v>
      </c>
      <c r="I21" s="23" t="n">
        <v>15</v>
      </c>
      <c r="J21" s="23" t="n">
        <v>15</v>
      </c>
      <c r="K21" s="23" t="n">
        <v>15</v>
      </c>
      <c r="L21" s="23" t="n">
        <v>15</v>
      </c>
    </row>
    <row r="22">
      <c r="A22" t="inlineStr">
        <is>
          <t>Allowance threshold (billable km)  (src row 11)</t>
        </is>
      </c>
      <c r="B22" t="inlineStr">
        <is>
          <t>km</t>
        </is>
      </c>
      <c r="C22" s="23" t="n">
        <v>200</v>
      </c>
      <c r="D22" s="23" t="n">
        <v>200</v>
      </c>
      <c r="E22" s="23" t="n">
        <v>200</v>
      </c>
      <c r="F22" s="23" t="n">
        <v>200</v>
      </c>
      <c r="G22" s="23" t="n">
        <v>200</v>
      </c>
      <c r="H22" s="23" t="n">
        <v>200</v>
      </c>
      <c r="I22" s="23" t="n">
        <v>200</v>
      </c>
      <c r="J22" s="23" t="n">
        <v>200</v>
      </c>
      <c r="K22" s="23" t="n">
        <v>200</v>
      </c>
      <c r="L22" s="23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2026-09-25T01:53:56Z</dcterms:created>
  <dcterms:modified xsi:type="dcterms:W3CDTF">2026-09-25T01:53:56Z</dcterms:modified>
</cp:coreProperties>
</file>