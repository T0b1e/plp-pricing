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GJWD\pricing\"/>
    </mc:Choice>
  </mc:AlternateContent>
  <xr:revisionPtr revIDLastSave="0" documentId="8_{0812F4D0-E62D-4F0C-A3B3-82D745F53064}" xr6:coauthVersionLast="47" xr6:coauthVersionMax="47" xr10:uidLastSave="{00000000-0000-0000-0000-000000000000}"/>
  <bookViews>
    <workbookView xWindow="-108" yWindow="-108" windowWidth="23256" windowHeight="13896" activeTab="1" xr2:uid="{66622206-3CC2-425C-9B49-57B9BCC1FB2B}"/>
  </bookViews>
  <sheets>
    <sheet name="PP_CleanTopic" sheetId="9" r:id="rId1"/>
    <sheet name="Assumption" sheetId="5" r:id="rId2"/>
    <sheet name="Summary" sheetId="6" r:id="rId3"/>
    <sheet name="Sheet2" sheetId="7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0" i="5" l="1"/>
  <c r="F79" i="5"/>
  <c r="E79" i="5"/>
  <c r="D79" i="5"/>
  <c r="C79" i="5"/>
  <c r="L30" i="5"/>
  <c r="L31" i="5" s="1"/>
  <c r="L21" i="6" s="1"/>
  <c r="J30" i="5"/>
  <c r="J31" i="5" s="1"/>
  <c r="J21" i="6" s="1"/>
  <c r="I30" i="5"/>
  <c r="I31" i="5" s="1"/>
  <c r="I21" i="6" s="1"/>
  <c r="H30" i="5"/>
  <c r="G30" i="5"/>
  <c r="G31" i="5" s="1"/>
  <c r="G21" i="6" s="1"/>
  <c r="F30" i="5"/>
  <c r="D30" i="5"/>
  <c r="D31" i="5" s="1"/>
  <c r="D21" i="6" s="1"/>
  <c r="F78" i="5"/>
  <c r="E78" i="5"/>
  <c r="D78" i="5"/>
  <c r="C78" i="5"/>
  <c r="H31" i="5"/>
  <c r="H21" i="6" s="1"/>
  <c r="F31" i="5"/>
  <c r="F21" i="6" s="1"/>
  <c r="E6" i="5"/>
  <c r="E30" i="5" s="1"/>
  <c r="C80" i="5" s="1"/>
  <c r="F6" i="5"/>
  <c r="G6" i="5"/>
  <c r="H6" i="5"/>
  <c r="I6" i="5"/>
  <c r="J6" i="5"/>
  <c r="K6" i="5"/>
  <c r="K30" i="5" s="1"/>
  <c r="L6" i="5"/>
  <c r="M6" i="5"/>
  <c r="M30" i="5" s="1"/>
  <c r="M31" i="5" s="1"/>
  <c r="M21" i="6" s="1"/>
  <c r="D6" i="5"/>
  <c r="K31" i="5" l="1"/>
  <c r="K21" i="6" s="1"/>
  <c r="F80" i="5"/>
  <c r="E80" i="5"/>
  <c r="E31" i="5"/>
  <c r="E21" i="6" s="1"/>
  <c r="I15" i="6"/>
  <c r="F7" i="6"/>
  <c r="F20" i="6" s="1"/>
  <c r="M6" i="6"/>
  <c r="M17" i="6" s="1"/>
  <c r="L6" i="6"/>
  <c r="L17" i="6" s="1"/>
  <c r="K6" i="6"/>
  <c r="K17" i="6" s="1"/>
  <c r="J6" i="6"/>
  <c r="J16" i="6" s="1"/>
  <c r="I6" i="6"/>
  <c r="I17" i="6" s="1"/>
  <c r="H6" i="6"/>
  <c r="H17" i="6" s="1"/>
  <c r="G6" i="6"/>
  <c r="G17" i="6" s="1"/>
  <c r="F6" i="6"/>
  <c r="F16" i="6" s="1"/>
  <c r="E6" i="6"/>
  <c r="E17" i="6" s="1"/>
  <c r="D6" i="6"/>
  <c r="D16" i="6" s="1"/>
  <c r="M4" i="6"/>
  <c r="L4" i="6"/>
  <c r="K4" i="6"/>
  <c r="J4" i="6"/>
  <c r="I4" i="6"/>
  <c r="H4" i="6"/>
  <c r="G4" i="6"/>
  <c r="F4" i="6"/>
  <c r="E4" i="6"/>
  <c r="D4" i="6"/>
  <c r="F77" i="5"/>
  <c r="E77" i="5"/>
  <c r="D77" i="5"/>
  <c r="C77" i="5"/>
  <c r="F76" i="5"/>
  <c r="E76" i="5"/>
  <c r="D76" i="5"/>
  <c r="C76" i="5"/>
  <c r="F69" i="5"/>
  <c r="E69" i="5"/>
  <c r="D69" i="5"/>
  <c r="C69" i="5"/>
  <c r="F66" i="5"/>
  <c r="E66" i="5"/>
  <c r="D66" i="5"/>
  <c r="C66" i="5"/>
  <c r="F75" i="5"/>
  <c r="E75" i="5"/>
  <c r="D75" i="5"/>
  <c r="C75" i="5"/>
  <c r="F72" i="5"/>
  <c r="E72" i="5"/>
  <c r="D72" i="5"/>
  <c r="C72" i="5"/>
  <c r="F71" i="5"/>
  <c r="E71" i="5"/>
  <c r="D71" i="5"/>
  <c r="C71" i="5"/>
  <c r="F70" i="5"/>
  <c r="E70" i="5"/>
  <c r="D70" i="5"/>
  <c r="C70" i="5"/>
  <c r="F68" i="5"/>
  <c r="E68" i="5"/>
  <c r="D68" i="5"/>
  <c r="C68" i="5"/>
  <c r="F67" i="5"/>
  <c r="E67" i="5"/>
  <c r="D67" i="5"/>
  <c r="C67" i="5"/>
  <c r="F65" i="5"/>
  <c r="E65" i="5"/>
  <c r="D65" i="5"/>
  <c r="C65" i="5"/>
  <c r="F64" i="5"/>
  <c r="E64" i="5"/>
  <c r="D64" i="5"/>
  <c r="C64" i="5"/>
  <c r="F63" i="5"/>
  <c r="E63" i="5"/>
  <c r="D63" i="5"/>
  <c r="C63" i="5"/>
  <c r="F62" i="5"/>
  <c r="E62" i="5"/>
  <c r="D62" i="5"/>
  <c r="C62" i="5"/>
  <c r="F61" i="5"/>
  <c r="E61" i="5"/>
  <c r="D61" i="5"/>
  <c r="C61" i="5"/>
  <c r="F60" i="5"/>
  <c r="E60" i="5"/>
  <c r="D60" i="5"/>
  <c r="C60" i="5"/>
  <c r="F59" i="5"/>
  <c r="E59" i="5"/>
  <c r="D59" i="5"/>
  <c r="C59" i="5"/>
  <c r="F58" i="5"/>
  <c r="E58" i="5"/>
  <c r="D58" i="5"/>
  <c r="C58" i="5"/>
  <c r="M44" i="5"/>
  <c r="K44" i="5"/>
  <c r="J44" i="5"/>
  <c r="I44" i="5"/>
  <c r="H44" i="5"/>
  <c r="G44" i="5"/>
  <c r="F44" i="5"/>
  <c r="D44" i="5"/>
  <c r="M22" i="5"/>
  <c r="M24" i="5" s="1"/>
  <c r="L22" i="5"/>
  <c r="K22" i="5"/>
  <c r="K24" i="5" s="1"/>
  <c r="J22" i="5"/>
  <c r="J24" i="5" s="1"/>
  <c r="I22" i="5"/>
  <c r="I24" i="5" s="1"/>
  <c r="H22" i="5"/>
  <c r="H24" i="5" s="1"/>
  <c r="G22" i="5"/>
  <c r="G24" i="5" s="1"/>
  <c r="F22" i="5"/>
  <c r="F24" i="5" s="1"/>
  <c r="E22" i="5"/>
  <c r="D22" i="5"/>
  <c r="D24" i="5" s="1"/>
  <c r="M19" i="5"/>
  <c r="K19" i="5"/>
  <c r="J19" i="5"/>
  <c r="I19" i="5"/>
  <c r="H19" i="5"/>
  <c r="G19" i="5"/>
  <c r="F19" i="5"/>
  <c r="D19" i="5"/>
  <c r="M16" i="5"/>
  <c r="M27" i="5" s="1"/>
  <c r="D16" i="5"/>
  <c r="E10" i="5"/>
  <c r="E7" i="6" s="1"/>
  <c r="F10" i="5"/>
  <c r="G10" i="5"/>
  <c r="G7" i="6" s="1"/>
  <c r="H10" i="5"/>
  <c r="H7" i="6" s="1"/>
  <c r="I10" i="5"/>
  <c r="I7" i="6" s="1"/>
  <c r="J10" i="5"/>
  <c r="J7" i="6" s="1"/>
  <c r="K10" i="5"/>
  <c r="K7" i="6" s="1"/>
  <c r="L10" i="5"/>
  <c r="L7" i="6" s="1"/>
  <c r="M10" i="5"/>
  <c r="M7" i="6" s="1"/>
  <c r="D10" i="5"/>
  <c r="D7" i="6" s="1"/>
  <c r="D19" i="6" s="1"/>
  <c r="D8" i="5"/>
  <c r="D39" i="5" s="1"/>
  <c r="D15" i="6" s="1"/>
  <c r="L44" i="5"/>
  <c r="L35" i="5"/>
  <c r="F8" i="5"/>
  <c r="F36" i="5" s="1"/>
  <c r="F14" i="6" s="1"/>
  <c r="G8" i="5"/>
  <c r="G36" i="5" s="1"/>
  <c r="G14" i="6" s="1"/>
  <c r="H8" i="5"/>
  <c r="H39" i="5" s="1"/>
  <c r="H15" i="6" s="1"/>
  <c r="I8" i="5"/>
  <c r="I39" i="5" s="1"/>
  <c r="J8" i="5"/>
  <c r="J39" i="5" s="1"/>
  <c r="J15" i="6" s="1"/>
  <c r="K8" i="5"/>
  <c r="K39" i="5" s="1"/>
  <c r="K15" i="6" s="1"/>
  <c r="F16" i="5"/>
  <c r="G16" i="5"/>
  <c r="H16" i="5"/>
  <c r="I16" i="5"/>
  <c r="J16" i="5"/>
  <c r="K16" i="5"/>
  <c r="J20" i="6" l="1"/>
  <c r="M20" i="6"/>
  <c r="L20" i="6"/>
  <c r="I19" i="6"/>
  <c r="I18" i="6"/>
  <c r="J17" i="6"/>
  <c r="H27" i="5"/>
  <c r="K27" i="5"/>
  <c r="J27" i="5"/>
  <c r="D27" i="5"/>
  <c r="K19" i="6"/>
  <c r="K20" i="6"/>
  <c r="H18" i="6"/>
  <c r="H20" i="6"/>
  <c r="H19" i="6"/>
  <c r="G19" i="6"/>
  <c r="G20" i="6"/>
  <c r="M18" i="6"/>
  <c r="M19" i="6"/>
  <c r="E19" i="6"/>
  <c r="L18" i="6"/>
  <c r="L19" i="6"/>
  <c r="I20" i="6"/>
  <c r="I5" i="6"/>
  <c r="I13" i="6" s="1"/>
  <c r="J5" i="6"/>
  <c r="J12" i="6" s="1"/>
  <c r="H36" i="5"/>
  <c r="H14" i="6" s="1"/>
  <c r="K5" i="6"/>
  <c r="K10" i="6" s="1"/>
  <c r="F39" i="5"/>
  <c r="F15" i="6" s="1"/>
  <c r="G39" i="5"/>
  <c r="G15" i="6" s="1"/>
  <c r="G5" i="6"/>
  <c r="F5" i="6"/>
  <c r="H5" i="6"/>
  <c r="H13" i="6" s="1"/>
  <c r="D5" i="6"/>
  <c r="D20" i="6"/>
  <c r="F17" i="6"/>
  <c r="D17" i="6"/>
  <c r="D18" i="6"/>
  <c r="E18" i="6"/>
  <c r="G16" i="6"/>
  <c r="H16" i="6"/>
  <c r="F18" i="6"/>
  <c r="I16" i="6"/>
  <c r="G18" i="6"/>
  <c r="F19" i="6"/>
  <c r="K16" i="6"/>
  <c r="L16" i="6"/>
  <c r="J18" i="6"/>
  <c r="E16" i="6"/>
  <c r="M16" i="6"/>
  <c r="K18" i="6"/>
  <c r="J19" i="6"/>
  <c r="I27" i="5"/>
  <c r="I36" i="5"/>
  <c r="I14" i="6" s="1"/>
  <c r="J36" i="5"/>
  <c r="J14" i="6" s="1"/>
  <c r="D36" i="5"/>
  <c r="D14" i="6" s="1"/>
  <c r="K36" i="5"/>
  <c r="K14" i="6" s="1"/>
  <c r="J11" i="6" l="1"/>
  <c r="I11" i="6"/>
  <c r="I10" i="6"/>
  <c r="I12" i="6"/>
  <c r="K12" i="6"/>
  <c r="H12" i="6"/>
  <c r="J13" i="6"/>
  <c r="J10" i="6"/>
  <c r="H11" i="6"/>
  <c r="K11" i="6"/>
  <c r="K13" i="6"/>
  <c r="H10" i="6"/>
  <c r="F12" i="6"/>
  <c r="F10" i="6"/>
  <c r="F13" i="6"/>
  <c r="G11" i="6"/>
  <c r="G12" i="6"/>
  <c r="G13" i="6"/>
  <c r="F11" i="6"/>
  <c r="G10" i="6"/>
  <c r="D12" i="6"/>
  <c r="D11" i="6"/>
  <c r="D10" i="6"/>
  <c r="D13" i="6"/>
  <c r="L8" i="5"/>
  <c r="L5" i="6" s="1"/>
  <c r="M8" i="5"/>
  <c r="M5" i="6" s="1"/>
  <c r="F27" i="5"/>
  <c r="G27" i="5"/>
  <c r="L24" i="5"/>
  <c r="L19" i="5"/>
  <c r="L16" i="5"/>
  <c r="E44" i="5"/>
  <c r="E20" i="6" s="1"/>
  <c r="E24" i="5"/>
  <c r="E19" i="5"/>
  <c r="E16" i="5"/>
  <c r="E8" i="5"/>
  <c r="E5" i="6" s="1"/>
  <c r="G22" i="6" l="1"/>
  <c r="K22" i="6"/>
  <c r="D22" i="6"/>
  <c r="F22" i="6"/>
  <c r="I22" i="6"/>
  <c r="I23" i="6" s="1"/>
  <c r="H22" i="6"/>
  <c r="H23" i="6" s="1"/>
  <c r="J22" i="6"/>
  <c r="J25" i="6" s="1"/>
  <c r="J26" i="6" s="1"/>
  <c r="J27" i="6" s="1"/>
  <c r="K25" i="6"/>
  <c r="K26" i="6" s="1"/>
  <c r="K27" i="6" s="1"/>
  <c r="E13" i="6"/>
  <c r="E10" i="6"/>
  <c r="E12" i="6"/>
  <c r="E11" i="6"/>
  <c r="L10" i="6"/>
  <c r="L12" i="6"/>
  <c r="L13" i="6"/>
  <c r="L11" i="6"/>
  <c r="K23" i="6"/>
  <c r="M13" i="6"/>
  <c r="M10" i="6"/>
  <c r="M12" i="6"/>
  <c r="M11" i="6"/>
  <c r="D23" i="6"/>
  <c r="D25" i="6"/>
  <c r="D26" i="6" s="1"/>
  <c r="D27" i="6" s="1"/>
  <c r="E36" i="5"/>
  <c r="E14" i="6" s="1"/>
  <c r="E39" i="5"/>
  <c r="E15" i="6" s="1"/>
  <c r="M36" i="5"/>
  <c r="M14" i="6" s="1"/>
  <c r="M39" i="5"/>
  <c r="M15" i="6" s="1"/>
  <c r="L39" i="5"/>
  <c r="L15" i="6" s="1"/>
  <c r="L36" i="5"/>
  <c r="L14" i="6" s="1"/>
  <c r="L27" i="5"/>
  <c r="E27" i="5"/>
  <c r="I25" i="6" l="1"/>
  <c r="I26" i="6" s="1"/>
  <c r="I27" i="6" s="1"/>
  <c r="H25" i="6"/>
  <c r="H26" i="6" s="1"/>
  <c r="H27" i="6" s="1"/>
  <c r="L22" i="6"/>
  <c r="L25" i="6" s="1"/>
  <c r="L26" i="6" s="1"/>
  <c r="L27" i="6" s="1"/>
  <c r="M22" i="6"/>
  <c r="E22" i="6"/>
  <c r="J23" i="6"/>
  <c r="G25" i="6"/>
  <c r="G26" i="6" s="1"/>
  <c r="G27" i="6" s="1"/>
  <c r="G23" i="6"/>
  <c r="F23" i="6"/>
  <c r="F25" i="6"/>
  <c r="F26" i="6" s="1"/>
  <c r="F27" i="6" s="1"/>
  <c r="L23" i="6" l="1"/>
  <c r="M25" i="6"/>
  <c r="M26" i="6" s="1"/>
  <c r="M27" i="6" s="1"/>
  <c r="M23" i="6"/>
  <c r="E25" i="6"/>
  <c r="E26" i="6" s="1"/>
  <c r="E27" i="6" s="1"/>
  <c r="E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O29" authorId="0" shapeId="0" xr:uid="{B3B913D0-0E83-4D03-B370-CDF340345244}">
      <text>
        <r>
          <rPr>
            <b/>
            <sz val="9"/>
            <color indexed="81"/>
            <rFont val="Tahoma"/>
          </rPr>
          <t>HP:</t>
        </r>
        <r>
          <rPr>
            <sz val="9"/>
            <color indexed="81"/>
            <rFont val="Tahoma"/>
          </rPr>
          <t xml:space="preserve">
Source: กฎกระทรวงกำหนดอัตราความเร็วฯ พ.ศ. 2564, ราชกิจจานุเบกษา, https://www.ratchakitcha.soc.go.th/DATA/PDF/2564/A/077/T_0001.PDF</t>
        </r>
      </text>
    </comment>
  </commentList>
</comments>
</file>

<file path=xl/sharedStrings.xml><?xml version="1.0" encoding="utf-8"?>
<sst xmlns="http://schemas.openxmlformats.org/spreadsheetml/2006/main" count="435" uniqueCount="279">
  <si>
    <t>4W</t>
  </si>
  <si>
    <t>6W</t>
  </si>
  <si>
    <t>10W</t>
  </si>
  <si>
    <t>วิธีใช้: แก้ไขเฉพาะช่องพื้นสีเหลือง (ตัวเลขสีน้ำเงิน) เท่านั้น   |   ช่องตัวอักษรสีดำ = สูตรคำนวณ ห้ามแก้</t>
  </si>
  <si>
    <t>ก. ข้อมูลเส้นทาง / Utilization</t>
  </si>
  <si>
    <t>รายการ</t>
  </si>
  <si>
    <t>หน่วย</t>
  </si>
  <si>
    <t>ที่มา / หมายเหตุ</t>
  </si>
  <si>
    <t>ระยะทางเที่ยวเดียว</t>
  </si>
  <si>
    <t>กม.</t>
  </si>
  <si>
    <t>โจทย์จากผู้ใช้</t>
  </si>
  <si>
    <t>ระยะทางรอบ Round trip</t>
  </si>
  <si>
    <t>เที่ยว</t>
  </si>
  <si>
    <t>ระยะทางที่คิดค่าขนส่ง (Billable km)</t>
  </si>
  <si>
    <t>สูตร: ระยะทางเที่ยวเดียว x จำนวนขา</t>
  </si>
  <si>
    <t>จำนวนเที่ยวงาน/คัน/เดือน</t>
  </si>
  <si>
    <t>สมมติฐาน: ทำงาน 25 วัน/เดือน วันละ 1 เที่ยว (แก้ตามจริง)</t>
  </si>
  <si>
    <t>จำนวนเที่ยวงาน/คัน/ปี</t>
  </si>
  <si>
    <t>สูตร: เที่ยว/เดือน x 12</t>
  </si>
  <si>
    <t>ข. ต้นทุนผันแปรตามระยะทาง (Variable Cost - บาท/กม.)</t>
  </si>
  <si>
    <t>ราคาน้ำมันดีเซล</t>
  </si>
  <si>
    <t>บาท/ลิตร</t>
  </si>
  <si>
    <t>อัตราสิ้นเปลืองน้ำมัน</t>
  </si>
  <si>
    <t>กม./ลิตร</t>
  </si>
  <si>
    <t>จากตารางต้นทุนเดิม</t>
  </si>
  <si>
    <t>ต้นทุนน้ำมันเชื้อเพลิง</t>
  </si>
  <si>
    <t>บาท/กม.</t>
  </si>
  <si>
    <t>สูตร: ราคาน้ำมัน / อัตราสิ้นเปลือง</t>
  </si>
  <si>
    <t>ค่าน้ำมันหล่อลื่น+ไส้กรอง ต่อรอบเปลี่ยน</t>
  </si>
  <si>
    <t>บาท/รอบ</t>
  </si>
  <si>
    <t>จากตารางเดิม (ตีความว่า 10,000 บาท ต่อรอบเปลี่ยนถ่าย)</t>
  </si>
  <si>
    <t>ระยะเปลี่ยนถ่ายน้ำมันเครื่อง</t>
  </si>
  <si>
    <t>กม./รอบ</t>
  </si>
  <si>
    <t>สมมติฐานมาตรฐานรถหัวลาก - แก้ตามคู่มือรถจริง</t>
  </si>
  <si>
    <t>ต้นทุนน้ำมันหล่อลื่น</t>
  </si>
  <si>
    <t>สูตร: ค่าน้ำมันหล่อลื่นต่อรอบ / ระยะเปลี่ยนถ่าย</t>
  </si>
  <si>
    <t>บาท/ชุด</t>
  </si>
  <si>
    <t>สมมติฐาน 22 เส้น x 10,000 บาท - แก้ตามราคาซื้อจริง</t>
  </si>
  <si>
    <t>อายุการใช้งานยาง</t>
  </si>
  <si>
    <t>สมมติฐาน - แก้ตามสถิติของบริษัท</t>
  </si>
  <si>
    <t>ต้นทุนค่ายางรถ</t>
  </si>
  <si>
    <t>สูตร: ราคายาง / อายุยาง</t>
  </si>
  <si>
    <t>ค่าซ่อมบำรุง (ช่วงล่าง/เบรก/อะไหล่)</t>
  </si>
  <si>
    <t>สมมติฐาน - ควรแทนที่ด้วยค่าซ่อมจริงย้อนหลัง 12 เดือน หาร กม.สะสม</t>
  </si>
  <si>
    <t>ค. ต้นทุนคงที่ (Fixed Cost) - ปันส่วนเข้าเที่ยววิ่ง</t>
  </si>
  <si>
    <t>เงินเดือนพนักงานขับรถ</t>
  </si>
  <si>
    <t>บาท/เดือน</t>
  </si>
  <si>
    <t>ค่าเบี้ยเลี้ยงพนักงาน</t>
  </si>
  <si>
    <t>บาท/เที่ยว</t>
  </si>
  <si>
    <t>ค่าประกันสินค้าเสียหาย + เบี้ยประกันภัยรถ</t>
  </si>
  <si>
    <t>บาท/ปี</t>
  </si>
  <si>
    <t>ภาษีประจำปี หัว-หาง+GPS</t>
  </si>
  <si>
    <t>ค่าใช้จ่ายไม่มีใบเสร็จ (ค่าทางด่วน/ค่าผ่านท่า/เบ็ดเตล็ด)</t>
  </si>
  <si>
    <t>ค่าใช้จ่ายสำนักงาน (Overhead ปันส่วน)</t>
  </si>
  <si>
    <t>บาท/คัน/เดือน</t>
  </si>
  <si>
    <t>สมมติฐาน - ควรใช้ค่าใช้จ่ายสำนักงานรวมทั้งปี / จำนวนรถ / 12</t>
  </si>
  <si>
    <t>บาท</t>
  </si>
  <si>
    <t>สมมติฐาน (หัว 3.5 ลบ. + หาง 0.6 ลบ.) - แก้ตามราคาซื้อจริง</t>
  </si>
  <si>
    <t>มูลค่าซาก (% ของราคารถ)</t>
  </si>
  <si>
    <t>%</t>
  </si>
  <si>
    <t>สมมติฐาน</t>
  </si>
  <si>
    <t>อายุการใช้งาน (คิดค่าเสื่อม)</t>
  </si>
  <si>
    <t>ปี</t>
  </si>
  <si>
    <t>สมมติฐาน - หากรถปลอดหนี้/ตัดค่าเสื่อมหมดแล้ว ให้ใส่ค่าเสื่อม = 0</t>
  </si>
  <si>
    <t>ค่าเสื่อมราคา</t>
  </si>
  <si>
    <t>สูตร: (ราคารถ - มูลค่าซาก) / อายุการใช้งาน</t>
  </si>
  <si>
    <t>ง. นโยบายราคา (Pricing Policy)</t>
  </si>
  <si>
    <t>อัตรากำไรขั้นต้นเป้าหมาย (Margin)</t>
  </si>
  <si>
    <t>นโยบายบริษัท - ปรับได้ตามลูกค้า/ปริมาณงาน</t>
  </si>
  <si>
    <t>ค่าเสียเวลารอ (Waiting/Detention) ฟรี</t>
  </si>
  <si>
    <t>ชม.</t>
  </si>
  <si>
    <t>เกินกว่านี้คิดเพิ่มตามอัตราด้านล่าง</t>
  </si>
  <si>
    <t>อัตราค่ารอเกินเวลา</t>
  </si>
  <si>
    <t>บาท/ชม.</t>
  </si>
  <si>
    <t>นโยบายบริษัท</t>
  </si>
  <si>
    <t>ค่า Fuel Surcharge เมื่อราคาน้ำมันเปลี่ยน (Trigger)</t>
  </si>
  <si>
    <t>หากราคาน้ำมันขยับเกินนี้ ให้ปรับราคาใหม่</t>
  </si>
  <si>
    <t>Drayage - Dry</t>
  </si>
  <si>
    <t>Drayage - Reefer</t>
  </si>
  <si>
    <t>4W - Dry</t>
  </si>
  <si>
    <t>4W - Reefer</t>
  </si>
  <si>
    <t>6W - Dry</t>
  </si>
  <si>
    <t>6W - Reefer</t>
  </si>
  <si>
    <t>10W - Dry</t>
  </si>
  <si>
    <t>10W - Reefer</t>
  </si>
  <si>
    <t>Container - Dry</t>
  </si>
  <si>
    <t>Container - Reefer</t>
  </si>
  <si>
    <t>โครงสร้างต้นทุนต่อเที่ยว (Cost Build-up per Trip)</t>
  </si>
  <si>
    <t>ค่าน้ำมันเชื้อเพลิง</t>
  </si>
  <si>
    <t>ค่าน้ำมันหล่อลื่น + ไส้กรอง</t>
  </si>
  <si>
    <t>ค่ายางรถ</t>
  </si>
  <si>
    <t>ค่าซ่อมบำรุง</t>
  </si>
  <si>
    <t>ค่าเบี้ยเลี้ยงพนักงานขับรถ</t>
  </si>
  <si>
    <t>ตรง 1 เที่ยว</t>
  </si>
  <si>
    <t>ค่าใช้จ่ายไม่มีใบเสร็จ (ทางด่วน/ผ่านท่า)</t>
  </si>
  <si>
    <t>/ เที่ยวต่อเดือน</t>
  </si>
  <si>
    <t>ค่าใช้จ่ายสำนักงาน (Overhead)</t>
  </si>
  <si>
    <t>ค่าประกันสินค้า + ประกันภัยรถ</t>
  </si>
  <si>
    <t>/ เที่ยวต่อปี</t>
  </si>
  <si>
    <t>ใช้รถเราเอง</t>
  </si>
  <si>
    <t>ต้นทุนต่อกิโลเมตร (Cost per km)</t>
  </si>
  <si>
    <t>หมายเหตุ: ราคานี้ยังไม่รวม VAT 7% และยังไม่หักภาษี ณ ที่จ่าย 1%</t>
  </si>
  <si>
    <t>ค่าเพิ่มดรอป</t>
  </si>
  <si>
    <t>ราคายาง ต่อ เส้น</t>
  </si>
  <si>
    <t>จำนวนยาง ต่อ คัน</t>
  </si>
  <si>
    <t>เส้น</t>
  </si>
  <si>
    <t>บาท/ดรอป</t>
  </si>
  <si>
    <t>โมเดลคำนวณต้นทุนและราคาค่าขนส่งรถแต่ละประเภท</t>
  </si>
  <si>
    <t>ราคาลงทุนรถ</t>
  </si>
  <si>
    <t>จ. สรุปสมมติฐานที่ประมาณการ (Estimated Assumptions by Truck Type) - ค่าทั้งหมดลิงก์จากตารางด้านบน</t>
  </si>
  <si>
    <t>Container / Drayage</t>
  </si>
  <si>
    <t>ที่มา / เหตุผลของการประมาณการ</t>
  </si>
  <si>
    <t>อัตราสิ้นเปลือง - Dry (แถว 15)</t>
  </si>
  <si>
    <t>ประมาณดีกว่า Reefer ~20% (อิงสัดส่วน Container Dry 3.0 vs Reefer 2.5 จากชีต Cost Computation)</t>
  </si>
  <si>
    <t>อัตราสิ้นเปลือง - Reefer (แถว 15)</t>
  </si>
  <si>
    <t>ค่าเดิมในไฟล์ - ตรงกับตาราง BD (Cost Computation แถว 31)</t>
  </si>
  <si>
    <t>น้ำมันหล่อลื่น+ไส้กรอง ต่อรอบ (แถว 17)</t>
  </si>
  <si>
    <t>ประมาณตามขนาดเครื่องยนต์ โดยอ้างอิงค่า Drayage 10,000 บาทที่ผู้ใช้กรอก</t>
  </si>
  <si>
    <t>ระยะเปลี่ยนถ่ายน้ำมันเครื่อง (แถว 18)</t>
  </si>
  <si>
    <t>ใช้ 10,000 กม. ทุกประเภท (ค่ามาตรฐานคู่มือรถ) - แก้ตามคู่มือรถจริง</t>
  </si>
  <si>
    <t>ราคายาง ต่อเส้น (แถว 21)</t>
  </si>
  <si>
    <t>บาท/เส้น</t>
  </si>
  <si>
    <t>เทียบขนาดยางแต่ละประเภท - สอบทานกับต้นทุนยาง/กม. ของ BD</t>
  </si>
  <si>
    <t>อายุการใช้งานยาง (แถว 23)</t>
  </si>
  <si>
    <t>ตั้งให้ต้นทุนยาง/กม. ใกล้เคียง BD (4W 0.27 / 6W 0.38 / 10W 0.60 บาท/กม.)</t>
  </si>
  <si>
    <t>ค่าซ่อมบำรุง (แถว 25)</t>
  </si>
  <si>
    <t>ปรับสัดส่วนจาก BD (1.00/2.71/3.68) โดยตรึง Drayage = 1.50 ตามที่ผู้ใช้กรอก</t>
  </si>
  <si>
    <t>ค่าแรงขั้นต่ำ 400 บาท x 30 วัน เท่ากันทุกประเภท</t>
  </si>
  <si>
    <t>ประมาณตามทุนประกัน อ้างค่า Drayage 110,000 บาทที่ผู้ใช้กรอก (Reefer +10,000)</t>
  </si>
  <si>
    <t>อิงโครงสร้าง พรบ 2,000 / ภาษี 4,000 / GPS 3,000 ของหัวลาก และลดหลั่นตามขนาดรถ</t>
  </si>
  <si>
    <t>ปันส่วนตามขนาดงาน อ้างค่า Drayage 10,000 บาทที่ผู้ใช้กรอก</t>
  </si>
  <si>
    <t>ราคาตลาดโดยประมาณ - แก้ตามราคาซื้อจริง (Container/Drayage = หัว 3.5 ลบ. + หาง 0.6 ลบ.)</t>
  </si>
  <si>
    <t>บวกตู้เย็น/เครื่องทำความเย็น ประมาณ 0.4-0.8 ล้านบาทจากรุ่น Dry</t>
  </si>
  <si>
    <t>5% / 15 ปี</t>
  </si>
  <si>
    <t>% / ปี</t>
  </si>
  <si>
    <t>ใช้นโยบายเดียวกันทุกประเภท ตามที่ผู้ใช้กรอกไว้ในคอลัมน์ Drayage</t>
  </si>
  <si>
    <t>25% / 4 ชม. / 1 บาท</t>
  </si>
  <si>
    <t>% / ชม. / บาท/ลิตร</t>
  </si>
  <si>
    <t>เป็นนโยบายบริษัท ใช้ค่าเดียวกันทุกประเภท ตามคอลัมน์ Drayage</t>
  </si>
  <si>
    <t>อิงค่า 4W Reefer 200 บาทที่มีอยู่เดิม และเพิ่มตามขนาดรถ</t>
  </si>
  <si>
    <t>อิงค่า Drayage 500 บาท/ชม. ที่ผู้ใช้กรอก ลดหลั่นตามขนาดรถ</t>
  </si>
  <si>
    <t>ระยะทางเกณฑ์ปรับเบี้ยเลี้ยง/ค่าใช้จ่าย (Threshold)</t>
  </si>
  <si>
    <t>หากระยะทางที่คิดค่าขนส่ง (แถว 8) เกินค่านี้ คิดเบี้ยเลี้ยงและค่าใช้จ่ายไม่มีใบเสร็จเป็น 2 เท่า</t>
  </si>
  <si>
    <t>ค่าเบี้ยเลี้ยง - อัตราฐาน (ระยะไม่เกินเกณฑ์)</t>
  </si>
  <si>
    <t>อัตราฐานก่อนปรับระยะทาง - ใช้คำนวณแถว 32</t>
  </si>
  <si>
    <t>ค่าใช้จ่ายไม่มีใบเสร็จ - อัตราฐาน (ระยะไม่เกินเกณฑ์)</t>
  </si>
  <si>
    <t>อัตราฐานก่อนปรับระยะทาง - ใช้คำนวณแถว 35</t>
  </si>
  <si>
    <t>สูตร: ถ้าระยะทาง (แถว 8) &gt; เกณฑ์ (แถว 11) ให้คิด 2 เท่าของอัตราฐาน (แถว 41)</t>
  </si>
  <si>
    <t>สูตร: ถ้าระยะทาง (แถว 8) &gt; เกณฑ์ (แถว 11) ให้คิด 2 เท่าของอัตราฐาน (แถว 42)</t>
  </si>
  <si>
    <t>อิง BKK/LKB 500 บาท ของงานหัวลาก และลดหลั่นตามขนาดรถ | ถ้าระยะทาง &gt; 100 กม. คิด 2 เท่า (แถว 32)</t>
  </si>
  <si>
    <t>อิง BKK/LKB 300 บาท ของงานหัวลาก | ถ้าระยะทาง &gt; 100 กม. คิด 2 เท่า (แถว 35)</t>
  </si>
  <si>
    <t>ระยะทางเกณฑ์ปรับเบี้ยเลี้ยง/ค่าใช้จ่าย (แถว 11)</t>
  </si>
  <si>
    <t>เกิน 100 กม./เที่ยว ให้คิดเบี้ยเลี้ยงและค่าใช้จ่ายไม่มีใบเสร็จเป็น 2 เท่า</t>
  </si>
  <si>
    <t>หมายเหตุเดิม (ย้ายจากตารางเก่า)</t>
  </si>
  <si>
    <t>น้ำมันเจนเซ็ต 4 บาท/ลิตร | อัตราสิ้นเปลือง 3.5-4 L/ชั่วโมง</t>
  </si>
  <si>
    <t>ราคาห้ามต่ำกว่านี้ - ถ้าราคาต่ำกว่าจะต้องมีการเปรียบเทียบราคา</t>
  </si>
  <si>
    <t>ค่าเช่า/อ้างอิง 170,000</t>
  </si>
  <si>
    <t>อ้างอิงตัวเลขทั้งหมดจากชีต 'Assumption' (ตัวอักษรสีเขียว = ลิงก์ข้ามชีต)</t>
  </si>
  <si>
    <t>ระยะทางที่คิดค่าขนส่ง</t>
  </si>
  <si>
    <t>กม./เที่ยว</t>
  </si>
  <si>
    <t>ต้นทุนต่อเที่ยว (บาท/เที่ยว)</t>
  </si>
  <si>
    <t>บาท/กม. x ระยะทาง</t>
  </si>
  <si>
    <t>ภาษีประจำปี หัว-หาง + GPS</t>
  </si>
  <si>
    <t>ค่าเสื่อมราคารถ</t>
  </si>
  <si>
    <t>รวมต้นทุนต่อเที่ยว (Total Cost)</t>
  </si>
  <si>
    <t>อัตรากำไรเป้าหมาย (Margin)</t>
  </si>
  <si>
    <t>กำไรเป้าหมาย</t>
  </si>
  <si>
    <t>ราคาเสนอขาย (Standard Selling Price)</t>
  </si>
  <si>
    <t>ราคาเสนอขายต่อกิโลเมตร</t>
  </si>
  <si>
    <t>ค่าบริการเพิ่มเติม: ค่ารอเกินเวลา / ค่าเพิ่มดรอป คิดตามชีต Assumption ข้อ ง. / งานค้างคืนหรือตู้ Reefer-Danger ให้บวกเพิ่มแยกต่างหาก</t>
  </si>
  <si>
    <t>ต้นทุนต้องคิดจากเที่ยวไปกลับ</t>
  </si>
  <si>
    <t>อัตราสิ้นเปลืองน้ำมันเจนเซ็ตตู้เย็น</t>
  </si>
  <si>
    <t>ลิตร/ชม.</t>
  </si>
  <si>
    <t>สมมติฐาน 3.5-4 ลิตร/ชม. (งาน Dry = 0) - แก้ตามสเปคเครื่องทำความเย็นจริง</t>
  </si>
  <si>
    <t>ชม./เที่ยว</t>
  </si>
  <si>
    <t>ต้นทุนน้ำมันเจนเซ็ตตู้เย็น</t>
  </si>
  <si>
    <t>สูตร: อัตราสิ้นเปลือง x ชั่วโมงเดินเครื่อง x ราคาน้ำมันดีเซล (แถว 14)</t>
  </si>
  <si>
    <t>ค่าน้ำมันเจนเซ็ตตู้เย็น (Reefer)</t>
  </si>
  <si>
    <t>อัตราสิ้นเปลืองเจนเซ็ต - Reefer (แถว 28)</t>
  </si>
  <si>
    <t>สมมติฐาน 3.5-4 ลิตร/ชม. ตามหมายเหตุเดิมในไฟล์ | งาน Dry = 0</t>
  </si>
  <si>
    <t>รวมต้นทุนผันแปรรถเย็น (Running Cost)</t>
  </si>
  <si>
    <t>ความเร็วเฉลี่ยที่ใช้วิ่ง (ไม่เกินกฎหมายกำหนด)</t>
  </si>
  <si>
    <t>กม./ชม.</t>
  </si>
  <si>
    <t>กฎกระทรวงฯ พ.ศ. 2564 (ทางหลวง): รถบรรทุกเกิน 2,200 กก. ไม่เกิน 90 กม./ชม. | รถลากจูง (หัวลาก+หางพ่วง) ไม่เกิน 65 กม./ชม.</t>
  </si>
  <si>
    <t>ชั่วโมงเดินเครื่องทำความเย็น ต่อเที่ยว (ขาบรรทุกเที่ยวเดียว)</t>
  </si>
  <si>
    <t>สูตร: ระยะทางเที่ยวเดียว (แถว 6) / ความเร็วเฉลี่ย (แถว 29) | งาน Dry = 0</t>
  </si>
  <si>
    <t>เงินเดือนพนักงานขับรถ (แถว 35)</t>
  </si>
  <si>
    <t>ค่าเบี้ยเลี้ยงพนักงาน - อัตราฐาน (แถว 45)</t>
  </si>
  <si>
    <t>ประกันสินค้า + ประกันภัยรถ (แถว 37)</t>
  </si>
  <si>
    <t>ภาษีประจำปี + GPS (แถว 38)</t>
  </si>
  <si>
    <t>ค่าใช้จ่ายไม่มีใบเสร็จ - อัตราฐาน (แถว 46)</t>
  </si>
  <si>
    <t>ค่าใช้จ่ายสำนักงาน (Overhead) (แถว 40)</t>
  </si>
  <si>
    <t>ราคาลงทุนรถ - Dry (แถว 41)</t>
  </si>
  <si>
    <t>ราคาลงทุนรถ - Reefer (แถว 41)</t>
  </si>
  <si>
    <t>มูลค่าซาก / อายุการคิดค่าเสื่อม (แถว 42-43)</t>
  </si>
  <si>
    <t>อัตรากำไรเป้าหมาย / เวลารอฟรี / Fuel trigger (แถว 49-50, 53)</t>
  </si>
  <si>
    <t>ค่าเพิ่มดรอป (แถว 51)</t>
  </si>
  <si>
    <t>อัตราค่ารอเกินเวลา (แถว 52)</t>
  </si>
  <si>
    <t>ความเร็วเฉลี่ยที่ใช้วิ่ง (แถว 29)</t>
  </si>
  <si>
    <t>ใช้เพดานกฎหมาย (กฎกระทรวงฯ 2564 ทางหลวง): รถบรรทุก 90 / รถลากจูง 65 กม./ชม.</t>
  </si>
  <si>
    <t>ชั่วโมงเดินเครื่องทำความเย็น - Reefer (แถว 30)</t>
  </si>
  <si>
    <t>คำนวณจาก ระยะทางเที่ยวเดียว / ความเร็วเฉลี่ย (เปิดเครื่องเฉพาะขาบรรทุก)</t>
  </si>
  <si>
    <t>หน่วยงานที่เกี่ยวข้อง</t>
  </si>
  <si>
    <t>ฝ่ายบุคคล</t>
  </si>
  <si>
    <t>ฝ่ายขนส่ง</t>
  </si>
  <si>
    <t>ฝ่ายบัญชี</t>
  </si>
  <si>
    <t>ฝ่ายซ่อมบำรุง</t>
  </si>
  <si>
    <t>ราคายางทั้งหมด</t>
  </si>
  <si>
    <t>Vin Number ของแต่ละประเภทรถ</t>
  </si>
  <si>
    <t>Driver name, number</t>
  </si>
  <si>
    <t>Maintenance checklist</t>
  </si>
  <si>
    <t>Preventive Maintenance</t>
  </si>
  <si>
    <t>Periodic Maintenance</t>
  </si>
  <si>
    <t>Failure Maintenance</t>
  </si>
  <si>
    <t>Container</t>
  </si>
  <si>
    <t>VIN no.</t>
  </si>
  <si>
    <t>KPI</t>
  </si>
  <si>
    <t>Completeness of Preventive Maintenance</t>
  </si>
  <si>
    <t>Cost per truck</t>
  </si>
  <si>
    <t>Time-to-failure</t>
  </si>
  <si>
    <t>Drayage Template</t>
  </si>
  <si>
    <t>Domestic Template</t>
  </si>
  <si>
    <t>Category</t>
  </si>
  <si>
    <t>Cost Item</t>
  </si>
  <si>
    <t>Treatment per Trip</t>
  </si>
  <si>
    <t>1. Vehicle Operating Cost</t>
  </si>
  <si>
    <t>Allocate by km</t>
  </si>
  <si>
    <t>2. Vehicle Ownership / Fixed Cost</t>
  </si>
  <si>
    <t>Allocate by km / trip / operating day</t>
  </si>
  <si>
    <t>Allocate by trip / operating day</t>
  </si>
  <si>
    <t>Per trip or allocated based on shipment</t>
  </si>
  <si>
    <t>Allocate by operating days/trips</t>
  </si>
  <si>
    <t>Allocate by month → trip</t>
  </si>
  <si>
    <t>3. Human Cost</t>
  </si>
  <si>
    <t>Allocate by working hours/days/trip</t>
  </si>
  <si>
    <t>Actual per trip</t>
  </si>
  <si>
    <t>Per trip when applicable</t>
  </si>
  <si>
    <t>4. Trip-Specific Operational Cost</t>
  </si>
  <si>
    <t>Actual or standard rate</t>
  </si>
  <si>
    <t>5. Vehicle-Specific Cost</t>
  </si>
  <si>
    <t>Consumption × operating hours × fuel price</t>
  </si>
  <si>
    <t>Per trip / hour / km</t>
  </si>
  <si>
    <t>6. Overhead Allocation</t>
  </si>
  <si>
    <t>Allocate across trips using selected basis</t>
  </si>
  <si>
    <t>Allocate across trips</t>
  </si>
  <si>
    <t>7. Capital / Economic Cost</t>
  </si>
  <si>
    <t>Allocate by trip/day/km</t>
  </si>
  <si>
    <t>If relevant</t>
  </si>
  <si>
    <t>8. Risk Cost</t>
  </si>
  <si>
    <t>Expected loss per trip</t>
  </si>
  <si>
    <t>Add only where measurable</t>
  </si>
  <si>
    <t>{Distance} × fuel consumption × {fuel price}</t>
  </si>
  <si>
    <t>ค่าน้ำมันหล่อลื่นและไส้กรอง</t>
  </si>
  <si>
    <t>ค่าซ่อมแซมและบำรุงรักษา</t>
  </si>
  <si>
    <t>ค่าเบี้ยประกันภัยรถ</t>
  </si>
  <si>
    <t>ค่าเบี้ยประกันสินค้า</t>
  </si>
  <si>
    <t>ภาษีรถประจำปี</t>
  </si>
  <si>
    <t>ค่าระบบ GPS</t>
  </si>
  <si>
    <t>ค่าเบี้ยเลี้ยงอัตราฐาน</t>
  </si>
  <si>
    <t>ค่าทางด่วน</t>
  </si>
  <si>
    <t>ค่าผ่านท่า / ค่าธรรมเนียมท่า</t>
  </si>
  <si>
    <t>ค่าจอดรถ</t>
  </si>
  <si>
    <t>ค่าใช้จ่ายเบ็ดเตล็ด / ค่าใช้จ่ายไม่มีใบเสร็จ</t>
  </si>
  <si>
    <t>ค่าน้ำมันเครื่องกำเนิดไฟฟ้าตู้เย็น</t>
  </si>
  <si>
    <t>ค่าใช้อุปกรณ์เฉพาะทางอื่น ๆ</t>
  </si>
  <si>
    <t>ค่าใช้จ่ายสำนักงานและธุรการ</t>
  </si>
  <si>
    <t>ค่าใช้จ่ายงานจัดรถ วางแผน และระบบ</t>
  </si>
  <si>
    <t>ต้นทุนค่าเสียโอกาสของเงินทุนในรถ</t>
  </si>
  <si>
    <t>ต้นทุนทางการเงิน / ดอกเบี้ย</t>
  </si>
  <si>
    <t>ต้นทุนคาดการณ์จากอุบัติเหตุ ความเสียหาย หรือการสูญหาย</t>
  </si>
  <si>
    <t>ต้นทุนความเสี่ยงเฉพาะเส้นทาง / ลูกค้า</t>
  </si>
  <si>
    <t>Department</t>
  </si>
  <si>
    <t>Estimation</t>
  </si>
  <si>
    <t>ฝ่ายซ่อมบำรุง / ฝ่ายบัญชี</t>
  </si>
  <si>
    <t>ฝ่ายบัญชี / ฝ่ายบุคคล</t>
  </si>
  <si>
    <t>Executive decision</t>
  </si>
  <si>
    <t>Educated assumption</t>
  </si>
  <si>
    <t>Note</t>
  </si>
  <si>
    <t>Can be disaggregated into: Preventive Maintenance + Periodic Maintenance + Failure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</si>
</sst>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#,##0.00;\(#,##0.00\);\-"/>
    <numFmt numFmtId="166" formatCode="#,##0;\(#,##0\);\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9"/>
      <color rgb="FFC0000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i/>
      <sz val="10"/>
      <color rgb="FF808080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color rgb="FF808080"/>
      <name val="Arial"/>
      <family val="2"/>
    </font>
    <font>
      <b/>
      <i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000000"/>
      <name val="Arial"/>
    </font>
    <font>
      <i/>
      <sz val="9"/>
      <color rgb="FF808080"/>
      <name val="Arial"/>
    </font>
    <font>
      <sz val="10"/>
      <color rgb="FF008000"/>
      <name val="Arial"/>
    </font>
    <font>
      <sz val="9"/>
      <color indexed="81"/>
      <name val="Tahoma"/>
    </font>
    <font>
      <b/>
      <sz val="9"/>
      <color indexed="81"/>
      <name val="Tahoma"/>
    </font>
    <font>
      <b/>
      <i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3" borderId="1" xfId="1" applyFont="1" applyFill="1" applyBorder="1" applyAlignment="1">
      <alignment horizontal="center" vertical="center" wrapText="1"/>
    </xf>
    <xf numFmtId="0" fontId="3" fillId="0" borderId="1" xfId="1" applyFont="1" applyBorder="1"/>
    <xf numFmtId="3" fontId="8" fillId="4" borderId="1" xfId="1" applyNumberFormat="1" applyFont="1" applyFill="1" applyBorder="1"/>
    <xf numFmtId="0" fontId="4" fillId="0" borderId="1" xfId="1" applyFont="1" applyBorder="1"/>
    <xf numFmtId="3" fontId="3" fillId="0" borderId="1" xfId="1" applyNumberFormat="1" applyFont="1" applyBorder="1"/>
    <xf numFmtId="165" fontId="8" fillId="4" borderId="1" xfId="1" applyNumberFormat="1" applyFont="1" applyFill="1" applyBorder="1"/>
    <xf numFmtId="165" fontId="3" fillId="0" borderId="1" xfId="1" applyNumberFormat="1" applyFont="1" applyBorder="1"/>
    <xf numFmtId="0" fontId="4" fillId="5" borderId="1" xfId="1" applyFont="1" applyFill="1" applyBorder="1"/>
    <xf numFmtId="166" fontId="8" fillId="4" borderId="1" xfId="1" applyNumberFormat="1" applyFont="1" applyFill="1" applyBorder="1"/>
    <xf numFmtId="164" fontId="8" fillId="4" borderId="1" xfId="1" applyNumberFormat="1" applyFont="1" applyFill="1" applyBorder="1"/>
    <xf numFmtId="0" fontId="3" fillId="7" borderId="1" xfId="1" applyFont="1" applyFill="1" applyBorder="1"/>
    <xf numFmtId="165" fontId="3" fillId="7" borderId="1" xfId="1" applyNumberFormat="1" applyFont="1" applyFill="1" applyBorder="1"/>
    <xf numFmtId="165" fontId="8" fillId="7" borderId="1" xfId="1" applyNumberFormat="1" applyFont="1" applyFill="1" applyBorder="1"/>
    <xf numFmtId="166" fontId="8" fillId="7" borderId="1" xfId="1" applyNumberFormat="1" applyFont="1" applyFill="1" applyBorder="1"/>
    <xf numFmtId="164" fontId="8" fillId="7" borderId="1" xfId="1" applyNumberFormat="1" applyFont="1" applyFill="1" applyBorder="1"/>
    <xf numFmtId="0" fontId="11" fillId="0" borderId="0" xfId="1" applyFont="1"/>
    <xf numFmtId="0" fontId="7" fillId="8" borderId="1" xfId="1" applyFont="1" applyFill="1" applyBorder="1" applyAlignment="1">
      <alignment horizontal="center"/>
    </xf>
    <xf numFmtId="0" fontId="12" fillId="0" borderId="1" xfId="1" applyFont="1" applyBorder="1" applyAlignment="1">
      <alignment vertical="center"/>
    </xf>
    <xf numFmtId="4" fontId="12" fillId="0" borderId="1" xfId="1" applyNumberFormat="1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6" fontId="12" fillId="0" borderId="1" xfId="1" applyNumberFormat="1" applyFont="1" applyBorder="1"/>
    <xf numFmtId="0" fontId="3" fillId="0" borderId="2" xfId="1" applyFont="1" applyBorder="1"/>
    <xf numFmtId="3" fontId="3" fillId="0" borderId="2" xfId="1" applyNumberFormat="1" applyFont="1" applyBorder="1"/>
    <xf numFmtId="0" fontId="4" fillId="0" borderId="2" xfId="1" applyFont="1" applyBorder="1"/>
    <xf numFmtId="166" fontId="3" fillId="0" borderId="2" xfId="1" applyNumberFormat="1" applyFont="1" applyBorder="1"/>
    <xf numFmtId="0" fontId="13" fillId="0" borderId="0" xfId="1" applyFont="1"/>
    <xf numFmtId="0" fontId="12" fillId="0" borderId="1" xfId="1" applyFont="1" applyBorder="1"/>
    <xf numFmtId="3" fontId="12" fillId="0" borderId="1" xfId="1" applyNumberFormat="1" applyFont="1" applyBorder="1" applyAlignment="1">
      <alignment horizontal="center"/>
    </xf>
    <xf numFmtId="0" fontId="7" fillId="8" borderId="1" xfId="1" applyFont="1" applyFill="1" applyBorder="1" applyAlignment="1">
      <alignment horizontal="left"/>
    </xf>
    <xf numFmtId="0" fontId="15" fillId="0" borderId="0" xfId="1" applyFont="1"/>
    <xf numFmtId="0" fontId="7" fillId="8" borderId="1" xfId="0" applyFont="1" applyFill="1" applyBorder="1" applyAlignment="1">
      <alignment horizontal="center" wrapText="1"/>
    </xf>
    <xf numFmtId="0" fontId="12" fillId="0" borderId="1" xfId="0" applyFont="1" applyBorder="1"/>
    <xf numFmtId="0" fontId="4" fillId="0" borderId="1" xfId="0" applyFont="1" applyBorder="1"/>
    <xf numFmtId="3" fontId="9" fillId="0" borderId="1" xfId="0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6" fillId="2" borderId="1" xfId="0" applyFont="1" applyFill="1" applyBorder="1"/>
    <xf numFmtId="0" fontId="4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0" fontId="18" fillId="2" borderId="1" xfId="0" applyFont="1" applyFill="1" applyBorder="1"/>
    <xf numFmtId="165" fontId="16" fillId="2" borderId="1" xfId="0" applyNumberFormat="1" applyFont="1" applyFill="1" applyBorder="1" applyAlignment="1">
      <alignment horizontal="center"/>
    </xf>
    <xf numFmtId="165" fontId="16" fillId="2" borderId="1" xfId="1" applyNumberFormat="1" applyFont="1" applyFill="1" applyBorder="1" applyAlignment="1">
      <alignment horizontal="center"/>
    </xf>
    <xf numFmtId="0" fontId="16" fillId="0" borderId="1" xfId="0" applyFont="1" applyBorder="1"/>
    <xf numFmtId="0" fontId="18" fillId="0" borderId="1" xfId="0" applyFont="1" applyBorder="1"/>
    <xf numFmtId="165" fontId="16" fillId="0" borderId="1" xfId="0" applyNumberFormat="1" applyFont="1" applyBorder="1" applyAlignment="1">
      <alignment horizontal="center"/>
    </xf>
    <xf numFmtId="165" fontId="16" fillId="0" borderId="1" xfId="1" applyNumberFormat="1" applyFont="1" applyBorder="1" applyAlignment="1">
      <alignment horizontal="center"/>
    </xf>
    <xf numFmtId="0" fontId="14" fillId="0" borderId="1" xfId="0" applyFont="1" applyBorder="1"/>
    <xf numFmtId="164" fontId="9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0" fontId="16" fillId="7" borderId="1" xfId="1" applyFont="1" applyFill="1" applyBorder="1"/>
    <xf numFmtId="0" fontId="17" fillId="7" borderId="1" xfId="1" applyFont="1" applyFill="1" applyBorder="1"/>
    <xf numFmtId="165" fontId="11" fillId="7" borderId="1" xfId="1" applyNumberFormat="1" applyFont="1" applyFill="1" applyBorder="1" applyAlignment="1">
      <alignment horizontal="center"/>
    </xf>
    <xf numFmtId="0" fontId="16" fillId="0" borderId="1" xfId="1" applyFont="1" applyBorder="1"/>
    <xf numFmtId="0" fontId="17" fillId="0" borderId="1" xfId="1" applyFont="1" applyBorder="1"/>
    <xf numFmtId="165" fontId="11" fillId="0" borderId="1" xfId="1" applyNumberFormat="1" applyFont="1" applyBorder="1" applyAlignment="1">
      <alignment horizontal="center"/>
    </xf>
    <xf numFmtId="0" fontId="6" fillId="6" borderId="2" xfId="1" applyFont="1" applyFill="1" applyBorder="1"/>
    <xf numFmtId="4" fontId="6" fillId="6" borderId="2" xfId="1" applyNumberFormat="1" applyFont="1" applyFill="1" applyBorder="1"/>
    <xf numFmtId="165" fontId="6" fillId="6" borderId="2" xfId="1" applyNumberFormat="1" applyFont="1" applyFill="1" applyBorder="1"/>
    <xf numFmtId="0" fontId="3" fillId="6" borderId="2" xfId="1" applyFont="1" applyFill="1" applyBorder="1"/>
    <xf numFmtId="0" fontId="20" fillId="0" borderId="1" xfId="1" applyFont="1" applyBorder="1"/>
    <xf numFmtId="165" fontId="21" fillId="7" borderId="1" xfId="0" applyNumberFormat="1" applyFont="1" applyFill="1" applyBorder="1"/>
    <xf numFmtId="0" fontId="19" fillId="0" borderId="1" xfId="1" applyFont="1" applyBorder="1"/>
    <xf numFmtId="0" fontId="23" fillId="0" borderId="1" xfId="0" applyFont="1" applyBorder="1"/>
    <xf numFmtId="0" fontId="22" fillId="2" borderId="1" xfId="1" applyFont="1" applyFill="1" applyBorder="1"/>
    <xf numFmtId="166" fontId="20" fillId="2" borderId="1" xfId="0" applyNumberFormat="1" applyFont="1" applyFill="1" applyBorder="1"/>
    <xf numFmtId="0" fontId="20" fillId="0" borderId="1" xfId="0" applyFont="1" applyBorder="1"/>
    <xf numFmtId="165" fontId="24" fillId="0" borderId="1" xfId="0" applyNumberFormat="1" applyFont="1" applyBorder="1" applyAlignment="1">
      <alignment horizontal="center"/>
    </xf>
    <xf numFmtId="165" fontId="24" fillId="0" borderId="1" xfId="1" applyNumberFormat="1" applyFont="1" applyBorder="1" applyAlignment="1">
      <alignment horizontal="center"/>
    </xf>
    <xf numFmtId="0" fontId="20" fillId="0" borderId="1" xfId="1" applyFont="1" applyBorder="1" applyAlignment="1">
      <alignment vertical="center"/>
    </xf>
    <xf numFmtId="4" fontId="20" fillId="0" borderId="1" xfId="0" applyNumberFormat="1" applyFont="1" applyBorder="1" applyAlignment="1">
      <alignment horizontal="center"/>
    </xf>
    <xf numFmtId="0" fontId="23" fillId="0" borderId="1" xfId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wrapText="1"/>
    </xf>
    <xf numFmtId="0" fontId="27" fillId="0" borderId="4" xfId="1" applyFont="1" applyBorder="1"/>
    <xf numFmtId="0" fontId="28" fillId="7" borderId="5" xfId="1" applyFont="1" applyFill="1" applyBorder="1"/>
    <xf numFmtId="165" fontId="12" fillId="0" borderId="1" xfId="0" applyNumberFormat="1" applyFont="1" applyBorder="1"/>
    <xf numFmtId="166" fontId="8" fillId="7" borderId="1" xfId="0" applyNumberFormat="1" applyFont="1" applyFill="1" applyBorder="1"/>
    <xf numFmtId="4" fontId="12" fillId="0" borderId="1" xfId="1" applyNumberFormat="1" applyFont="1" applyBorder="1" applyAlignment="1">
      <alignment horizontal="center"/>
    </xf>
    <xf numFmtId="0" fontId="7" fillId="8" borderId="3" xfId="0" applyFont="1" applyFill="1" applyBorder="1" applyAlignment="1">
      <alignment horizontal="center" wrapText="1"/>
    </xf>
    <xf numFmtId="0" fontId="7" fillId="8" borderId="3" xfId="1" applyFont="1" applyFill="1" applyBorder="1" applyAlignment="1">
      <alignment horizontal="center" wrapText="1"/>
    </xf>
    <xf numFmtId="0" fontId="29" fillId="0" borderId="4" xfId="1" applyFont="1" applyBorder="1"/>
    <xf numFmtId="0" fontId="29" fillId="0" borderId="5" xfId="1" applyFont="1" applyBorder="1"/>
    <xf numFmtId="0" fontId="3" fillId="0" borderId="6" xfId="1" applyFont="1" applyBorder="1"/>
    <xf numFmtId="0" fontId="1" fillId="0" borderId="6" xfId="1" applyBorder="1"/>
    <xf numFmtId="0" fontId="1" fillId="0" borderId="5" xfId="1" applyBorder="1"/>
    <xf numFmtId="0" fontId="6" fillId="0" borderId="4" xfId="1" applyFont="1" applyBorder="1"/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</cellXfs>
  <cellStyles count="3">
    <cellStyle name="Comma 2" xfId="2" xr:uid="{7758F70C-356B-4BC0-BA65-5A2B51BAB32A}"/>
    <cellStyle name="Normal 2" xfId="1" xr:uid="{52D7D647-6761-4182-94A6-7AD43EA91E16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2635F1-F14F-46A7-9A1A-F5303A3AF2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78f9e84-e04e-433b-9bec-110fddb9402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BACF-F788-47F2-8934-CCDC95079BD8}">
  <dimension ref="A1:E25"/>
  <sheetViews>
    <sheetView zoomScaleNormal="100" workbookViewId="0">
      <selection activeCell="E5" sqref="E5"/>
    </sheetView>
  </sheetViews>
  <sheetFormatPr defaultColWidth="8.77734375" defaultRowHeight="14.4" x14ac:dyDescent="0.3"/>
  <cols>
    <col min="1" max="1" width="28.88671875" style="100" bestFit="1" customWidth="1"/>
    <col min="2" max="2" width="35.6640625" style="100" customWidth="1"/>
    <col min="3" max="3" width="21.5546875" style="100" bestFit="1" customWidth="1"/>
    <col min="4" max="4" width="35.77734375" style="100" bestFit="1" customWidth="1"/>
    <col min="5" max="5" width="32.109375" style="100" customWidth="1"/>
    <col min="6" max="16384" width="8.77734375" style="100"/>
  </cols>
  <sheetData>
    <row r="1" spans="1:5" x14ac:dyDescent="0.3">
      <c r="A1" s="102" t="s">
        <v>222</v>
      </c>
      <c r="B1" s="102" t="s">
        <v>223</v>
      </c>
      <c r="C1" s="102" t="s">
        <v>271</v>
      </c>
      <c r="D1" s="102" t="s">
        <v>224</v>
      </c>
      <c r="E1" s="102" t="s">
        <v>277</v>
      </c>
    </row>
    <row r="2" spans="1:5" x14ac:dyDescent="0.3">
      <c r="A2" s="99" t="s">
        <v>225</v>
      </c>
      <c r="B2" s="101" t="s">
        <v>88</v>
      </c>
      <c r="C2" s="101" t="s">
        <v>272</v>
      </c>
      <c r="D2" s="101" t="s">
        <v>251</v>
      </c>
      <c r="E2" s="104"/>
    </row>
    <row r="3" spans="1:5" x14ac:dyDescent="0.3">
      <c r="A3" s="101"/>
      <c r="B3" s="101" t="s">
        <v>252</v>
      </c>
      <c r="C3" s="101" t="s">
        <v>206</v>
      </c>
      <c r="D3" s="101" t="s">
        <v>226</v>
      </c>
      <c r="E3" s="104"/>
    </row>
    <row r="4" spans="1:5" x14ac:dyDescent="0.3">
      <c r="A4" s="101"/>
      <c r="B4" s="101" t="s">
        <v>90</v>
      </c>
      <c r="C4" s="101" t="s">
        <v>206</v>
      </c>
      <c r="D4" s="101" t="s">
        <v>226</v>
      </c>
      <c r="E4" s="104"/>
    </row>
    <row r="5" spans="1:5" ht="43.2" x14ac:dyDescent="0.3">
      <c r="A5" s="103"/>
      <c r="B5" s="103" t="s">
        <v>253</v>
      </c>
      <c r="C5" s="103" t="s">
        <v>206</v>
      </c>
      <c r="D5" s="103" t="s">
        <v>226</v>
      </c>
      <c r="E5" s="103" t="s">
        <v>278</v>
      </c>
    </row>
    <row r="6" spans="1:5" x14ac:dyDescent="0.3">
      <c r="A6" s="99" t="s">
        <v>227</v>
      </c>
      <c r="B6" s="101" t="s">
        <v>163</v>
      </c>
      <c r="C6" s="101" t="s">
        <v>273</v>
      </c>
      <c r="D6" s="101" t="s">
        <v>228</v>
      </c>
      <c r="E6" s="104"/>
    </row>
    <row r="7" spans="1:5" x14ac:dyDescent="0.3">
      <c r="A7" s="101"/>
      <c r="B7" s="101" t="s">
        <v>254</v>
      </c>
      <c r="C7" s="101" t="s">
        <v>273</v>
      </c>
      <c r="D7" s="101" t="s">
        <v>229</v>
      </c>
      <c r="E7" s="104"/>
    </row>
    <row r="8" spans="1:5" x14ac:dyDescent="0.3">
      <c r="A8" s="101"/>
      <c r="B8" s="101" t="s">
        <v>255</v>
      </c>
      <c r="C8" s="101" t="s">
        <v>273</v>
      </c>
      <c r="D8" s="101" t="s">
        <v>230</v>
      </c>
      <c r="E8" s="104"/>
    </row>
    <row r="9" spans="1:5" x14ac:dyDescent="0.3">
      <c r="A9" s="101"/>
      <c r="B9" s="101" t="s">
        <v>256</v>
      </c>
      <c r="C9" s="101" t="s">
        <v>273</v>
      </c>
      <c r="D9" s="101" t="s">
        <v>231</v>
      </c>
      <c r="E9" s="104"/>
    </row>
    <row r="10" spans="1:5" x14ac:dyDescent="0.3">
      <c r="A10" s="103"/>
      <c r="B10" s="103" t="s">
        <v>257</v>
      </c>
      <c r="C10" s="103" t="s">
        <v>273</v>
      </c>
      <c r="D10" s="103" t="s">
        <v>232</v>
      </c>
      <c r="E10" s="105"/>
    </row>
    <row r="11" spans="1:5" x14ac:dyDescent="0.3">
      <c r="A11" s="99" t="s">
        <v>233</v>
      </c>
      <c r="B11" s="101" t="s">
        <v>45</v>
      </c>
      <c r="C11" s="101" t="s">
        <v>274</v>
      </c>
      <c r="D11" s="101" t="s">
        <v>234</v>
      </c>
      <c r="E11" s="104"/>
    </row>
    <row r="12" spans="1:5" x14ac:dyDescent="0.3">
      <c r="A12" s="101"/>
      <c r="B12" s="101" t="s">
        <v>92</v>
      </c>
      <c r="C12" s="101" t="s">
        <v>274</v>
      </c>
      <c r="D12" s="101" t="s">
        <v>235</v>
      </c>
      <c r="E12" s="104"/>
    </row>
    <row r="13" spans="1:5" x14ac:dyDescent="0.3">
      <c r="A13" s="103"/>
      <c r="B13" s="103" t="s">
        <v>258</v>
      </c>
      <c r="C13" s="103" t="s">
        <v>274</v>
      </c>
      <c r="D13" s="103" t="s">
        <v>236</v>
      </c>
      <c r="E13" s="105"/>
    </row>
    <row r="14" spans="1:5" x14ac:dyDescent="0.3">
      <c r="A14" s="99" t="s">
        <v>237</v>
      </c>
      <c r="B14" s="101" t="s">
        <v>259</v>
      </c>
      <c r="C14" s="101" t="s">
        <v>204</v>
      </c>
      <c r="D14" s="101" t="s">
        <v>235</v>
      </c>
      <c r="E14" s="104"/>
    </row>
    <row r="15" spans="1:5" x14ac:dyDescent="0.3">
      <c r="A15" s="101"/>
      <c r="B15" s="101" t="s">
        <v>260</v>
      </c>
      <c r="C15" s="101" t="s">
        <v>204</v>
      </c>
      <c r="D15" s="101" t="s">
        <v>235</v>
      </c>
      <c r="E15" s="104"/>
    </row>
    <row r="16" spans="1:5" x14ac:dyDescent="0.3">
      <c r="A16" s="101"/>
      <c r="B16" s="101" t="s">
        <v>261</v>
      </c>
      <c r="C16" s="101" t="s">
        <v>204</v>
      </c>
      <c r="D16" s="101" t="s">
        <v>235</v>
      </c>
      <c r="E16" s="104"/>
    </row>
    <row r="17" spans="1:5" x14ac:dyDescent="0.3">
      <c r="A17" s="103"/>
      <c r="B17" s="103" t="s">
        <v>262</v>
      </c>
      <c r="C17" s="103" t="s">
        <v>204</v>
      </c>
      <c r="D17" s="103" t="s">
        <v>238</v>
      </c>
      <c r="E17" s="105"/>
    </row>
    <row r="18" spans="1:5" x14ac:dyDescent="0.3">
      <c r="A18" s="99" t="s">
        <v>239</v>
      </c>
      <c r="B18" s="101" t="s">
        <v>263</v>
      </c>
      <c r="C18" s="101" t="s">
        <v>273</v>
      </c>
      <c r="D18" s="101" t="s">
        <v>240</v>
      </c>
      <c r="E18" s="104"/>
    </row>
    <row r="19" spans="1:5" x14ac:dyDescent="0.3">
      <c r="A19" s="103"/>
      <c r="B19" s="103" t="s">
        <v>264</v>
      </c>
      <c r="C19" s="103" t="s">
        <v>273</v>
      </c>
      <c r="D19" s="103" t="s">
        <v>241</v>
      </c>
      <c r="E19" s="105"/>
    </row>
    <row r="20" spans="1:5" x14ac:dyDescent="0.3">
      <c r="A20" s="99" t="s">
        <v>242</v>
      </c>
      <c r="B20" s="101" t="s">
        <v>265</v>
      </c>
      <c r="C20" s="101"/>
      <c r="D20" s="101" t="s">
        <v>243</v>
      </c>
      <c r="E20" s="104"/>
    </row>
    <row r="21" spans="1:5" x14ac:dyDescent="0.3">
      <c r="A21" s="103"/>
      <c r="B21" s="103" t="s">
        <v>266</v>
      </c>
      <c r="C21" s="103"/>
      <c r="D21" s="103" t="s">
        <v>244</v>
      </c>
      <c r="E21" s="105"/>
    </row>
    <row r="22" spans="1:5" x14ac:dyDescent="0.3">
      <c r="A22" s="99" t="s">
        <v>245</v>
      </c>
      <c r="B22" s="101" t="s">
        <v>267</v>
      </c>
      <c r="C22" s="101" t="s">
        <v>275</v>
      </c>
      <c r="D22" s="101" t="s">
        <v>246</v>
      </c>
      <c r="E22" s="104"/>
    </row>
    <row r="23" spans="1:5" x14ac:dyDescent="0.3">
      <c r="A23" s="103"/>
      <c r="B23" s="103" t="s">
        <v>268</v>
      </c>
      <c r="C23" s="103" t="s">
        <v>275</v>
      </c>
      <c r="D23" s="103" t="s">
        <v>247</v>
      </c>
      <c r="E23" s="105"/>
    </row>
    <row r="24" spans="1:5" ht="28.8" x14ac:dyDescent="0.3">
      <c r="A24" s="99" t="s">
        <v>248</v>
      </c>
      <c r="B24" s="101" t="s">
        <v>269</v>
      </c>
      <c r="C24" s="101" t="s">
        <v>276</v>
      </c>
      <c r="D24" s="101" t="s">
        <v>249</v>
      </c>
      <c r="E24" s="104"/>
    </row>
    <row r="25" spans="1:5" x14ac:dyDescent="0.3">
      <c r="A25" s="103"/>
      <c r="B25" s="103" t="s">
        <v>270</v>
      </c>
      <c r="C25" s="103" t="s">
        <v>276</v>
      </c>
      <c r="D25" s="103" t="s">
        <v>250</v>
      </c>
      <c r="E25" s="10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92C7-9CA0-48E7-AF03-FB346A05DAB1}">
  <dimension ref="A1:P80"/>
  <sheetViews>
    <sheetView showGridLines="0" tabSelected="1" zoomScale="126" zoomScaleNormal="145" workbookViewId="0">
      <pane xSplit="1" ySplit="2" topLeftCell="B5" activePane="bottomRight" state="frozen"/>
      <selection activeCell="B15" sqref="B15"/>
      <selection pane="topRight" activeCell="B15" sqref="B15"/>
      <selection pane="bottomLeft" activeCell="B15" sqref="B15"/>
      <selection pane="bottomRight" activeCell="B35" sqref="B35"/>
    </sheetView>
  </sheetViews>
  <sheetFormatPr defaultColWidth="8.77734375" defaultRowHeight="14.4" x14ac:dyDescent="0.3"/>
  <cols>
    <col min="1" max="1" width="6" style="3" customWidth="1"/>
    <col min="2" max="2" width="43.21875" style="3" customWidth="1"/>
    <col min="3" max="3" width="18.44140625" style="3" bestFit="1" customWidth="1"/>
    <col min="4" max="4" width="18.44140625" style="3" customWidth="1"/>
    <col min="5" max="5" width="14" style="3" customWidth="1"/>
    <col min="6" max="6" width="18.21875" style="3" customWidth="1"/>
    <col min="7" max="8" width="14" style="3" customWidth="1"/>
    <col min="9" max="9" width="15.44140625" style="3" customWidth="1"/>
    <col min="10" max="10" width="14.77734375" style="3" bestFit="1" customWidth="1"/>
    <col min="11" max="11" width="17.44140625" style="3" bestFit="1" customWidth="1"/>
    <col min="12" max="12" width="14" style="3" customWidth="1"/>
    <col min="13" max="13" width="16.21875" style="3" bestFit="1" customWidth="1"/>
    <col min="14" max="14" width="16" style="3" customWidth="1"/>
    <col min="15" max="15" width="62" style="3" customWidth="1"/>
    <col min="16" max="16384" width="8.77734375" style="3"/>
  </cols>
  <sheetData>
    <row r="1" spans="1:16" ht="15.6" x14ac:dyDescent="0.3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3">
      <c r="A2" s="5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x14ac:dyDescent="0.3">
      <c r="A4" s="2"/>
      <c r="B4" s="6" t="s">
        <v>4</v>
      </c>
      <c r="C4" s="6"/>
      <c r="D4" s="86" t="s">
        <v>8</v>
      </c>
      <c r="E4" s="87">
        <v>120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x14ac:dyDescent="0.3">
      <c r="A5" s="2"/>
      <c r="B5" s="7" t="s">
        <v>5</v>
      </c>
      <c r="C5" s="7" t="s">
        <v>202</v>
      </c>
      <c r="D5" s="85" t="s">
        <v>79</v>
      </c>
      <c r="E5" s="85" t="s">
        <v>80</v>
      </c>
      <c r="F5" s="7" t="s">
        <v>81</v>
      </c>
      <c r="G5" s="7" t="s">
        <v>82</v>
      </c>
      <c r="H5" s="7" t="s">
        <v>83</v>
      </c>
      <c r="I5" s="7" t="s">
        <v>84</v>
      </c>
      <c r="J5" s="7" t="s">
        <v>85</v>
      </c>
      <c r="K5" s="7" t="s">
        <v>86</v>
      </c>
      <c r="L5" s="7" t="s">
        <v>77</v>
      </c>
      <c r="M5" s="7" t="s">
        <v>78</v>
      </c>
      <c r="N5" s="7" t="s">
        <v>6</v>
      </c>
      <c r="O5" s="7" t="s">
        <v>7</v>
      </c>
    </row>
    <row r="6" spans="1:16" x14ac:dyDescent="0.3">
      <c r="A6" s="2"/>
      <c r="B6" s="8" t="s">
        <v>8</v>
      </c>
      <c r="C6" s="8"/>
      <c r="D6" s="9">
        <f>$E$4</f>
        <v>120</v>
      </c>
      <c r="E6" s="9">
        <f t="shared" ref="E6:M6" si="0">$E$4</f>
        <v>120</v>
      </c>
      <c r="F6" s="9">
        <f t="shared" si="0"/>
        <v>120</v>
      </c>
      <c r="G6" s="9">
        <f t="shared" si="0"/>
        <v>120</v>
      </c>
      <c r="H6" s="9">
        <f t="shared" si="0"/>
        <v>120</v>
      </c>
      <c r="I6" s="9">
        <f t="shared" si="0"/>
        <v>120</v>
      </c>
      <c r="J6" s="9">
        <f t="shared" si="0"/>
        <v>120</v>
      </c>
      <c r="K6" s="9">
        <f t="shared" si="0"/>
        <v>120</v>
      </c>
      <c r="L6" s="9">
        <f t="shared" si="0"/>
        <v>120</v>
      </c>
      <c r="M6" s="9">
        <f t="shared" si="0"/>
        <v>120</v>
      </c>
      <c r="N6" s="8" t="s">
        <v>9</v>
      </c>
      <c r="O6" s="10" t="s">
        <v>10</v>
      </c>
    </row>
    <row r="7" spans="1:16" x14ac:dyDescent="0.3">
      <c r="A7" s="2"/>
      <c r="B7" s="8" t="s">
        <v>11</v>
      </c>
      <c r="C7" s="8"/>
      <c r="D7" s="9">
        <v>2</v>
      </c>
      <c r="E7" s="9">
        <v>2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8" t="s">
        <v>12</v>
      </c>
      <c r="O7" s="10" t="s">
        <v>170</v>
      </c>
    </row>
    <row r="8" spans="1:16" x14ac:dyDescent="0.3">
      <c r="A8" s="2"/>
      <c r="B8" s="8" t="s">
        <v>13</v>
      </c>
      <c r="C8" s="8"/>
      <c r="D8" s="11">
        <f>D6*D7</f>
        <v>240</v>
      </c>
      <c r="E8" s="11">
        <f>E6*E7</f>
        <v>240</v>
      </c>
      <c r="F8" s="11">
        <f t="shared" ref="F8:K8" si="1">F6*F7</f>
        <v>240</v>
      </c>
      <c r="G8" s="11">
        <f t="shared" si="1"/>
        <v>240</v>
      </c>
      <c r="H8" s="11">
        <f t="shared" si="1"/>
        <v>240</v>
      </c>
      <c r="I8" s="11">
        <f t="shared" si="1"/>
        <v>240</v>
      </c>
      <c r="J8" s="11">
        <f t="shared" si="1"/>
        <v>240</v>
      </c>
      <c r="K8" s="11">
        <f t="shared" si="1"/>
        <v>240</v>
      </c>
      <c r="L8" s="11">
        <f t="shared" ref="L8:M8" si="2">L6*L7</f>
        <v>240</v>
      </c>
      <c r="M8" s="11">
        <f t="shared" si="2"/>
        <v>240</v>
      </c>
      <c r="N8" s="8" t="s">
        <v>9</v>
      </c>
      <c r="O8" s="10" t="s">
        <v>14</v>
      </c>
    </row>
    <row r="9" spans="1:16" x14ac:dyDescent="0.3">
      <c r="A9" s="2"/>
      <c r="B9" s="8" t="s">
        <v>15</v>
      </c>
      <c r="C9" s="8" t="s">
        <v>204</v>
      </c>
      <c r="D9" s="9">
        <v>25</v>
      </c>
      <c r="E9" s="9">
        <v>25</v>
      </c>
      <c r="F9" s="9">
        <v>25</v>
      </c>
      <c r="G9" s="9">
        <v>25</v>
      </c>
      <c r="H9" s="9">
        <v>25</v>
      </c>
      <c r="I9" s="9">
        <v>25</v>
      </c>
      <c r="J9" s="9">
        <v>25</v>
      </c>
      <c r="K9" s="9">
        <v>25</v>
      </c>
      <c r="L9" s="9">
        <v>25</v>
      </c>
      <c r="M9" s="9">
        <v>25</v>
      </c>
      <c r="N9" s="8" t="s">
        <v>12</v>
      </c>
      <c r="O9" s="10" t="s">
        <v>16</v>
      </c>
      <c r="P9" s="2"/>
    </row>
    <row r="10" spans="1:16" x14ac:dyDescent="0.3">
      <c r="A10" s="2"/>
      <c r="B10" s="30" t="s">
        <v>17</v>
      </c>
      <c r="C10" s="30"/>
      <c r="D10" s="31">
        <f t="shared" ref="D10" si="3">D9*12</f>
        <v>300</v>
      </c>
      <c r="E10" s="31">
        <f t="shared" ref="E10" si="4">E9*12</f>
        <v>300</v>
      </c>
      <c r="F10" s="31">
        <f t="shared" ref="F10" si="5">F9*12</f>
        <v>300</v>
      </c>
      <c r="G10" s="31">
        <f t="shared" ref="G10" si="6">G9*12</f>
        <v>300</v>
      </c>
      <c r="H10" s="31">
        <f t="shared" ref="H10" si="7">H9*12</f>
        <v>300</v>
      </c>
      <c r="I10" s="31">
        <f t="shared" ref="I10" si="8">I9*12</f>
        <v>300</v>
      </c>
      <c r="J10" s="31">
        <f t="shared" ref="J10" si="9">J9*12</f>
        <v>300</v>
      </c>
      <c r="K10" s="31">
        <f t="shared" ref="K10" si="10">K9*12</f>
        <v>300</v>
      </c>
      <c r="L10" s="31">
        <f t="shared" ref="L10" si="11">L9*12</f>
        <v>300</v>
      </c>
      <c r="M10" s="31">
        <f t="shared" ref="M10" si="12">M9*12</f>
        <v>300</v>
      </c>
      <c r="N10" s="30" t="s">
        <v>12</v>
      </c>
      <c r="O10" s="32" t="s">
        <v>18</v>
      </c>
    </row>
    <row r="11" spans="1:16" x14ac:dyDescent="0.3">
      <c r="A11" s="2"/>
      <c r="B11" s="8" t="s">
        <v>141</v>
      </c>
      <c r="C11" s="8"/>
      <c r="D11" s="20">
        <v>200</v>
      </c>
      <c r="E11" s="20">
        <v>200</v>
      </c>
      <c r="F11" s="20">
        <v>200</v>
      </c>
      <c r="G11" s="20">
        <v>200</v>
      </c>
      <c r="H11" s="20">
        <v>200</v>
      </c>
      <c r="I11" s="20">
        <v>200</v>
      </c>
      <c r="J11" s="20">
        <v>200</v>
      </c>
      <c r="K11" s="20">
        <v>200</v>
      </c>
      <c r="L11" s="20">
        <v>200</v>
      </c>
      <c r="M11" s="20">
        <v>200</v>
      </c>
      <c r="N11" s="8" t="s">
        <v>9</v>
      </c>
      <c r="O11" s="10" t="s">
        <v>142</v>
      </c>
    </row>
    <row r="12" spans="1:16" x14ac:dyDescent="0.3">
      <c r="A12" s="2"/>
      <c r="B12" s="6" t="s">
        <v>19</v>
      </c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x14ac:dyDescent="0.3">
      <c r="A13" s="2"/>
      <c r="B13" s="7" t="s">
        <v>5</v>
      </c>
      <c r="C13" s="7" t="s">
        <v>202</v>
      </c>
      <c r="D13" s="7" t="s">
        <v>79</v>
      </c>
      <c r="E13" s="7" t="s">
        <v>80</v>
      </c>
      <c r="F13" s="7" t="s">
        <v>81</v>
      </c>
      <c r="G13" s="7" t="s">
        <v>82</v>
      </c>
      <c r="H13" s="7" t="s">
        <v>83</v>
      </c>
      <c r="I13" s="7" t="s">
        <v>84</v>
      </c>
      <c r="J13" s="7" t="s">
        <v>85</v>
      </c>
      <c r="K13" s="7" t="s">
        <v>86</v>
      </c>
      <c r="L13" s="7" t="s">
        <v>77</v>
      </c>
      <c r="M13" s="7" t="s">
        <v>78</v>
      </c>
      <c r="N13" s="7" t="s">
        <v>6</v>
      </c>
      <c r="O13" s="7" t="s">
        <v>7</v>
      </c>
    </row>
    <row r="14" spans="1:16" x14ac:dyDescent="0.3">
      <c r="A14" s="2"/>
      <c r="B14" s="8" t="s">
        <v>20</v>
      </c>
      <c r="C14" s="8"/>
      <c r="D14" s="12">
        <v>48</v>
      </c>
      <c r="E14" s="12">
        <v>48</v>
      </c>
      <c r="F14" s="12">
        <v>48</v>
      </c>
      <c r="G14" s="12">
        <v>48</v>
      </c>
      <c r="H14" s="12">
        <v>48</v>
      </c>
      <c r="I14" s="12">
        <v>48</v>
      </c>
      <c r="J14" s="12">
        <v>48</v>
      </c>
      <c r="K14" s="12">
        <v>48</v>
      </c>
      <c r="L14" s="12">
        <v>48</v>
      </c>
      <c r="M14" s="12">
        <v>48</v>
      </c>
      <c r="N14" s="8" t="s">
        <v>21</v>
      </c>
      <c r="O14" s="10" t="s">
        <v>10</v>
      </c>
    </row>
    <row r="15" spans="1:16" x14ac:dyDescent="0.3">
      <c r="A15" s="2"/>
      <c r="B15" s="8" t="s">
        <v>22</v>
      </c>
      <c r="C15" s="8" t="s">
        <v>204</v>
      </c>
      <c r="D15" s="19">
        <v>9.6</v>
      </c>
      <c r="E15" s="19">
        <v>9.6</v>
      </c>
      <c r="F15" s="12">
        <v>3.8</v>
      </c>
      <c r="G15" s="12">
        <v>3.8</v>
      </c>
      <c r="H15" s="12">
        <v>3.4</v>
      </c>
      <c r="I15" s="12">
        <v>3.4</v>
      </c>
      <c r="J15" s="12">
        <v>2.5</v>
      </c>
      <c r="K15" s="12">
        <v>2.5</v>
      </c>
      <c r="L15" s="12">
        <v>2.5</v>
      </c>
      <c r="M15" s="12">
        <v>2.5</v>
      </c>
      <c r="N15" s="8" t="s">
        <v>23</v>
      </c>
      <c r="O15" s="10" t="s">
        <v>24</v>
      </c>
    </row>
    <row r="16" spans="1:16" x14ac:dyDescent="0.3">
      <c r="A16" s="2"/>
      <c r="B16" s="8" t="s">
        <v>25</v>
      </c>
      <c r="C16" s="8"/>
      <c r="D16" s="13">
        <f>D14/D15</f>
        <v>5</v>
      </c>
      <c r="E16" s="13">
        <f>E14/E15</f>
        <v>5</v>
      </c>
      <c r="F16" s="13">
        <f t="shared" ref="F16:K16" si="13">F14/F15</f>
        <v>12.631578947368421</v>
      </c>
      <c r="G16" s="13">
        <f t="shared" si="13"/>
        <v>12.631578947368421</v>
      </c>
      <c r="H16" s="13">
        <f t="shared" si="13"/>
        <v>14.117647058823529</v>
      </c>
      <c r="I16" s="13">
        <f t="shared" si="13"/>
        <v>14.117647058823529</v>
      </c>
      <c r="J16" s="13">
        <f t="shared" si="13"/>
        <v>19.2</v>
      </c>
      <c r="K16" s="13">
        <f t="shared" si="13"/>
        <v>19.2</v>
      </c>
      <c r="L16" s="13">
        <f>L14/L15</f>
        <v>19.2</v>
      </c>
      <c r="M16" s="13">
        <f>M14/M15</f>
        <v>19.2</v>
      </c>
      <c r="N16" s="8" t="s">
        <v>26</v>
      </c>
      <c r="O16" s="10" t="s">
        <v>27</v>
      </c>
    </row>
    <row r="17" spans="1:16" x14ac:dyDescent="0.3">
      <c r="A17" s="2"/>
      <c r="B17" s="8" t="s">
        <v>28</v>
      </c>
      <c r="C17" s="8" t="s">
        <v>206</v>
      </c>
      <c r="D17" s="12">
        <v>1500</v>
      </c>
      <c r="E17" s="12">
        <v>1500</v>
      </c>
      <c r="F17" s="12">
        <v>3000</v>
      </c>
      <c r="G17" s="12">
        <v>3000</v>
      </c>
      <c r="H17" s="12">
        <v>6000</v>
      </c>
      <c r="I17" s="12">
        <v>6000</v>
      </c>
      <c r="J17" s="12">
        <v>10000</v>
      </c>
      <c r="K17" s="12">
        <v>10000</v>
      </c>
      <c r="L17" s="12">
        <v>10000</v>
      </c>
      <c r="M17" s="12">
        <v>10000</v>
      </c>
      <c r="N17" s="8" t="s">
        <v>29</v>
      </c>
      <c r="O17" s="10" t="s">
        <v>30</v>
      </c>
      <c r="P17" s="2"/>
    </row>
    <row r="18" spans="1:16" x14ac:dyDescent="0.3">
      <c r="A18" s="2"/>
      <c r="B18" s="8" t="s">
        <v>31</v>
      </c>
      <c r="C18" s="8" t="s">
        <v>206</v>
      </c>
      <c r="D18" s="12">
        <v>10000</v>
      </c>
      <c r="E18" s="12">
        <v>10000</v>
      </c>
      <c r="F18" s="12">
        <v>10000</v>
      </c>
      <c r="G18" s="12">
        <v>10000</v>
      </c>
      <c r="H18" s="12">
        <v>10000</v>
      </c>
      <c r="I18" s="12">
        <v>10000</v>
      </c>
      <c r="J18" s="12">
        <v>10000</v>
      </c>
      <c r="K18" s="12">
        <v>10000</v>
      </c>
      <c r="L18" s="12">
        <v>10000</v>
      </c>
      <c r="M18" s="12">
        <v>10000</v>
      </c>
      <c r="N18" s="8" t="s">
        <v>32</v>
      </c>
      <c r="O18" s="10" t="s">
        <v>33</v>
      </c>
    </row>
    <row r="19" spans="1:16" x14ac:dyDescent="0.3">
      <c r="A19" s="2"/>
      <c r="B19" s="8" t="s">
        <v>34</v>
      </c>
      <c r="C19" s="8"/>
      <c r="D19" s="8">
        <f t="shared" ref="D19:M19" si="14">D17/D18</f>
        <v>0.15</v>
      </c>
      <c r="E19" s="13">
        <f t="shared" si="14"/>
        <v>0.15</v>
      </c>
      <c r="F19" s="13">
        <f t="shared" si="14"/>
        <v>0.3</v>
      </c>
      <c r="G19" s="13">
        <f t="shared" si="14"/>
        <v>0.3</v>
      </c>
      <c r="H19" s="13">
        <f t="shared" si="14"/>
        <v>0.6</v>
      </c>
      <c r="I19" s="13">
        <f t="shared" si="14"/>
        <v>0.6</v>
      </c>
      <c r="J19" s="13">
        <f t="shared" si="14"/>
        <v>1</v>
      </c>
      <c r="K19" s="13">
        <f t="shared" si="14"/>
        <v>1</v>
      </c>
      <c r="L19" s="13">
        <f t="shared" si="14"/>
        <v>1</v>
      </c>
      <c r="M19" s="13">
        <f t="shared" si="14"/>
        <v>1</v>
      </c>
      <c r="N19" s="8" t="s">
        <v>26</v>
      </c>
      <c r="O19" s="10" t="s">
        <v>35</v>
      </c>
    </row>
    <row r="20" spans="1:16" x14ac:dyDescent="0.3">
      <c r="A20" s="2"/>
      <c r="B20" s="8" t="s">
        <v>104</v>
      </c>
      <c r="C20" s="8"/>
      <c r="D20" s="17">
        <v>4</v>
      </c>
      <c r="E20" s="18">
        <v>4</v>
      </c>
      <c r="F20" s="18">
        <v>6</v>
      </c>
      <c r="G20" s="18">
        <v>6</v>
      </c>
      <c r="H20" s="18">
        <v>10</v>
      </c>
      <c r="I20" s="18">
        <v>10</v>
      </c>
      <c r="J20" s="18">
        <v>22</v>
      </c>
      <c r="K20" s="18">
        <v>22</v>
      </c>
      <c r="L20" s="18">
        <v>22</v>
      </c>
      <c r="M20" s="18">
        <v>22</v>
      </c>
      <c r="N20" s="8" t="s">
        <v>105</v>
      </c>
      <c r="O20" s="10"/>
    </row>
    <row r="21" spans="1:16" x14ac:dyDescent="0.3">
      <c r="A21" s="2"/>
      <c r="B21" s="8" t="s">
        <v>103</v>
      </c>
      <c r="C21" s="8" t="s">
        <v>206</v>
      </c>
      <c r="D21" s="19">
        <v>3500</v>
      </c>
      <c r="E21" s="18">
        <v>3500</v>
      </c>
      <c r="F21" s="18">
        <v>5000</v>
      </c>
      <c r="G21" s="18">
        <v>5000</v>
      </c>
      <c r="H21" s="18">
        <v>6000</v>
      </c>
      <c r="I21" s="18">
        <v>6000</v>
      </c>
      <c r="J21" s="18">
        <v>10000</v>
      </c>
      <c r="K21" s="18">
        <v>10000</v>
      </c>
      <c r="L21" s="18">
        <v>10000</v>
      </c>
      <c r="M21" s="18">
        <v>10000</v>
      </c>
      <c r="N21" s="8" t="s">
        <v>56</v>
      </c>
      <c r="O21" s="10"/>
    </row>
    <row r="22" spans="1:16" x14ac:dyDescent="0.3">
      <c r="A22" s="2"/>
      <c r="B22" s="8" t="s">
        <v>207</v>
      </c>
      <c r="C22" s="8"/>
      <c r="D22" s="18">
        <f t="shared" ref="D22:M22" si="15">D20*D21</f>
        <v>14000</v>
      </c>
      <c r="E22" s="12">
        <f t="shared" si="15"/>
        <v>14000</v>
      </c>
      <c r="F22" s="12">
        <f t="shared" si="15"/>
        <v>30000</v>
      </c>
      <c r="G22" s="12">
        <f t="shared" si="15"/>
        <v>30000</v>
      </c>
      <c r="H22" s="12">
        <f t="shared" si="15"/>
        <v>60000</v>
      </c>
      <c r="I22" s="12">
        <f t="shared" si="15"/>
        <v>60000</v>
      </c>
      <c r="J22" s="12">
        <f t="shared" si="15"/>
        <v>220000</v>
      </c>
      <c r="K22" s="12">
        <f t="shared" si="15"/>
        <v>220000</v>
      </c>
      <c r="L22" s="12">
        <f t="shared" si="15"/>
        <v>220000</v>
      </c>
      <c r="M22" s="12">
        <f t="shared" si="15"/>
        <v>220000</v>
      </c>
      <c r="N22" s="8" t="s">
        <v>36</v>
      </c>
      <c r="O22" s="14" t="s">
        <v>37</v>
      </c>
    </row>
    <row r="23" spans="1:16" x14ac:dyDescent="0.3">
      <c r="A23" s="2"/>
      <c r="B23" s="8" t="s">
        <v>38</v>
      </c>
      <c r="C23" s="8" t="s">
        <v>206</v>
      </c>
      <c r="D23" s="19">
        <v>50000</v>
      </c>
      <c r="E23" s="12">
        <v>50000</v>
      </c>
      <c r="F23" s="12">
        <v>80000</v>
      </c>
      <c r="G23" s="12">
        <v>80000</v>
      </c>
      <c r="H23" s="12">
        <v>100000</v>
      </c>
      <c r="I23" s="12">
        <v>100000</v>
      </c>
      <c r="J23" s="12">
        <v>100000</v>
      </c>
      <c r="K23" s="12">
        <v>100000</v>
      </c>
      <c r="L23" s="12">
        <v>100000</v>
      </c>
      <c r="M23" s="12">
        <v>100000</v>
      </c>
      <c r="N23" s="8" t="s">
        <v>9</v>
      </c>
      <c r="O23" s="14" t="s">
        <v>39</v>
      </c>
    </row>
    <row r="24" spans="1:16" x14ac:dyDescent="0.3">
      <c r="A24" s="2"/>
      <c r="B24" s="8" t="s">
        <v>40</v>
      </c>
      <c r="C24" s="8"/>
      <c r="D24" s="8">
        <f t="shared" ref="D24:M24" si="16">D22/D23</f>
        <v>0.28000000000000003</v>
      </c>
      <c r="E24" s="13">
        <f t="shared" si="16"/>
        <v>0.28000000000000003</v>
      </c>
      <c r="F24" s="13">
        <f t="shared" si="16"/>
        <v>0.375</v>
      </c>
      <c r="G24" s="13">
        <f t="shared" si="16"/>
        <v>0.375</v>
      </c>
      <c r="H24" s="13">
        <f t="shared" si="16"/>
        <v>0.6</v>
      </c>
      <c r="I24" s="13">
        <f t="shared" si="16"/>
        <v>0.6</v>
      </c>
      <c r="J24" s="13">
        <f t="shared" si="16"/>
        <v>2.2000000000000002</v>
      </c>
      <c r="K24" s="13">
        <f t="shared" si="16"/>
        <v>2.2000000000000002</v>
      </c>
      <c r="L24" s="13">
        <f t="shared" si="16"/>
        <v>2.2000000000000002</v>
      </c>
      <c r="M24" s="13">
        <f t="shared" si="16"/>
        <v>2.2000000000000002</v>
      </c>
      <c r="N24" s="8" t="s">
        <v>26</v>
      </c>
      <c r="O24" s="10" t="s">
        <v>41</v>
      </c>
    </row>
    <row r="25" spans="1:16" x14ac:dyDescent="0.3">
      <c r="A25" s="2"/>
      <c r="B25" s="8" t="s">
        <v>42</v>
      </c>
      <c r="C25" s="8"/>
      <c r="D25" s="19">
        <v>0.4</v>
      </c>
      <c r="E25" s="12">
        <v>0.4</v>
      </c>
      <c r="F25" s="12">
        <v>1.1000000000000001</v>
      </c>
      <c r="G25" s="12">
        <v>1.1000000000000001</v>
      </c>
      <c r="H25" s="12">
        <v>1.5</v>
      </c>
      <c r="I25" s="12">
        <v>1.5</v>
      </c>
      <c r="J25" s="12">
        <v>1.5</v>
      </c>
      <c r="K25" s="12">
        <v>1.5</v>
      </c>
      <c r="L25" s="12">
        <v>1.5</v>
      </c>
      <c r="M25" s="12">
        <v>1.5</v>
      </c>
      <c r="N25" s="8" t="s">
        <v>26</v>
      </c>
      <c r="O25" s="10" t="s">
        <v>43</v>
      </c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6" x14ac:dyDescent="0.3">
      <c r="A27" s="2"/>
      <c r="B27" s="69" t="s">
        <v>180</v>
      </c>
      <c r="C27" s="69"/>
      <c r="D27" s="70">
        <f>D16+D19+D24+D25</f>
        <v>5.830000000000001</v>
      </c>
      <c r="E27" s="71">
        <f>E16+E19+E24+E25</f>
        <v>5.830000000000001</v>
      </c>
      <c r="F27" s="71">
        <f t="shared" ref="F27:L27" si="17">F16+F19+F24+F25</f>
        <v>14.406578947368422</v>
      </c>
      <c r="G27" s="71">
        <f t="shared" si="17"/>
        <v>14.406578947368422</v>
      </c>
      <c r="H27" s="71">
        <f>H16+H19+H24+H25</f>
        <v>16.817647058823528</v>
      </c>
      <c r="I27" s="71">
        <f>I16+I19+I24+I25</f>
        <v>16.817647058823528</v>
      </c>
      <c r="J27" s="71">
        <f>J16+J19+J24+J25</f>
        <v>23.9</v>
      </c>
      <c r="K27" s="71">
        <f>K16+K19+K24+K25</f>
        <v>23.9</v>
      </c>
      <c r="L27" s="71">
        <f t="shared" si="17"/>
        <v>23.9</v>
      </c>
      <c r="M27" s="71">
        <f>M16+M19+M24+M25</f>
        <v>23.9</v>
      </c>
      <c r="N27" s="69" t="s">
        <v>26</v>
      </c>
      <c r="O27" s="72"/>
    </row>
    <row r="28" spans="1:16" x14ac:dyDescent="0.3">
      <c r="A28"/>
      <c r="B28" s="73" t="s">
        <v>171</v>
      </c>
      <c r="C28" s="73"/>
      <c r="D28" s="74">
        <v>0</v>
      </c>
      <c r="E28" s="74">
        <v>3.75</v>
      </c>
      <c r="F28" s="74">
        <v>0</v>
      </c>
      <c r="G28" s="74">
        <v>3.75</v>
      </c>
      <c r="H28" s="74">
        <v>0</v>
      </c>
      <c r="I28" s="74">
        <v>3.75</v>
      </c>
      <c r="J28" s="74">
        <v>0</v>
      </c>
      <c r="K28" s="74">
        <v>4</v>
      </c>
      <c r="L28" s="74">
        <v>0</v>
      </c>
      <c r="M28" s="74">
        <v>4</v>
      </c>
      <c r="N28" s="75" t="s">
        <v>172</v>
      </c>
      <c r="O28" s="76" t="s">
        <v>173</v>
      </c>
      <c r="P28"/>
    </row>
    <row r="29" spans="1:16" x14ac:dyDescent="0.3">
      <c r="A29"/>
      <c r="B29" s="8" t="s">
        <v>181</v>
      </c>
      <c r="C29" s="8"/>
      <c r="D29" s="89">
        <v>90</v>
      </c>
      <c r="E29" s="89">
        <v>90</v>
      </c>
      <c r="F29" s="89">
        <v>90</v>
      </c>
      <c r="G29" s="89">
        <v>90</v>
      </c>
      <c r="H29" s="89">
        <v>90</v>
      </c>
      <c r="I29" s="89">
        <v>90</v>
      </c>
      <c r="J29" s="89">
        <v>65</v>
      </c>
      <c r="K29" s="89">
        <v>65</v>
      </c>
      <c r="L29" s="89">
        <v>65</v>
      </c>
      <c r="M29" s="89">
        <v>65</v>
      </c>
      <c r="N29" s="8" t="s">
        <v>182</v>
      </c>
      <c r="O29" s="41" t="s">
        <v>183</v>
      </c>
      <c r="P29"/>
    </row>
    <row r="30" spans="1:16" x14ac:dyDescent="0.3">
      <c r="A30"/>
      <c r="B30" s="35" t="s">
        <v>184</v>
      </c>
      <c r="C30" s="35"/>
      <c r="D30" s="88">
        <f t="shared" ref="D30:M30" si="18">IF(D28&gt;0,D6/D29,0)</f>
        <v>0</v>
      </c>
      <c r="E30" s="88">
        <f t="shared" si="18"/>
        <v>1.3333333333333333</v>
      </c>
      <c r="F30" s="88">
        <f t="shared" si="18"/>
        <v>0</v>
      </c>
      <c r="G30" s="88">
        <f t="shared" si="18"/>
        <v>1.3333333333333333</v>
      </c>
      <c r="H30" s="88">
        <f t="shared" si="18"/>
        <v>0</v>
      </c>
      <c r="I30" s="88">
        <f t="shared" si="18"/>
        <v>1.3333333333333333</v>
      </c>
      <c r="J30" s="88">
        <f t="shared" si="18"/>
        <v>0</v>
      </c>
      <c r="K30" s="88">
        <f t="shared" si="18"/>
        <v>1.8461538461538463</v>
      </c>
      <c r="L30" s="88">
        <f t="shared" si="18"/>
        <v>0</v>
      </c>
      <c r="M30" s="88">
        <f t="shared" si="18"/>
        <v>1.8461538461538463</v>
      </c>
      <c r="N30" s="8" t="s">
        <v>174</v>
      </c>
      <c r="O30" s="41" t="s">
        <v>185</v>
      </c>
      <c r="P30"/>
    </row>
    <row r="31" spans="1:16" x14ac:dyDescent="0.3">
      <c r="A31"/>
      <c r="B31" s="77" t="s">
        <v>175</v>
      </c>
      <c r="C31" s="77"/>
      <c r="D31" s="78">
        <f t="shared" ref="D31:M31" si="19">D28*D30*D14</f>
        <v>0</v>
      </c>
      <c r="E31" s="78">
        <f t="shared" si="19"/>
        <v>240</v>
      </c>
      <c r="F31" s="78">
        <f t="shared" si="19"/>
        <v>0</v>
      </c>
      <c r="G31" s="78">
        <f t="shared" si="19"/>
        <v>240</v>
      </c>
      <c r="H31" s="78">
        <f t="shared" si="19"/>
        <v>0</v>
      </c>
      <c r="I31" s="78">
        <f t="shared" si="19"/>
        <v>240</v>
      </c>
      <c r="J31" s="78">
        <f t="shared" si="19"/>
        <v>0</v>
      </c>
      <c r="K31" s="78">
        <f t="shared" si="19"/>
        <v>354.46153846153845</v>
      </c>
      <c r="L31" s="78">
        <f t="shared" si="19"/>
        <v>0</v>
      </c>
      <c r="M31" s="78">
        <f t="shared" si="19"/>
        <v>354.46153846153845</v>
      </c>
      <c r="N31" s="75" t="s">
        <v>48</v>
      </c>
      <c r="O31" s="76" t="s">
        <v>176</v>
      </c>
      <c r="P31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6" x14ac:dyDescent="0.3">
      <c r="A33" s="2"/>
      <c r="B33" s="6" t="s">
        <v>44</v>
      </c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6" x14ac:dyDescent="0.3">
      <c r="A34" s="2"/>
      <c r="B34" s="7" t="s">
        <v>5</v>
      </c>
      <c r="C34" s="7" t="s">
        <v>202</v>
      </c>
      <c r="D34" s="7" t="s">
        <v>79</v>
      </c>
      <c r="E34" s="7" t="s">
        <v>80</v>
      </c>
      <c r="F34" s="7" t="s">
        <v>81</v>
      </c>
      <c r="G34" s="7" t="s">
        <v>82</v>
      </c>
      <c r="H34" s="7" t="s">
        <v>83</v>
      </c>
      <c r="I34" s="7" t="s">
        <v>84</v>
      </c>
      <c r="J34" s="7" t="s">
        <v>85</v>
      </c>
      <c r="K34" s="7" t="s">
        <v>86</v>
      </c>
      <c r="L34" s="7" t="s">
        <v>77</v>
      </c>
      <c r="M34" s="7" t="s">
        <v>78</v>
      </c>
      <c r="N34" s="7" t="s">
        <v>6</v>
      </c>
      <c r="O34" s="7" t="s">
        <v>7</v>
      </c>
    </row>
    <row r="35" spans="1:16" x14ac:dyDescent="0.3">
      <c r="A35" s="2"/>
      <c r="B35" s="8" t="s">
        <v>45</v>
      </c>
      <c r="C35" s="8" t="s">
        <v>203</v>
      </c>
      <c r="D35" s="20">
        <v>12000</v>
      </c>
      <c r="E35" s="15">
        <v>12000</v>
      </c>
      <c r="F35" s="15">
        <v>12000</v>
      </c>
      <c r="G35" s="15">
        <v>12000</v>
      </c>
      <c r="H35" s="15">
        <v>12000</v>
      </c>
      <c r="I35" s="15">
        <v>12000</v>
      </c>
      <c r="J35" s="15">
        <v>12000</v>
      </c>
      <c r="K35" s="15">
        <v>12000</v>
      </c>
      <c r="L35" s="15">
        <f>30*400</f>
        <v>12000</v>
      </c>
      <c r="M35" s="15">
        <v>12000</v>
      </c>
      <c r="N35" s="8" t="s">
        <v>46</v>
      </c>
      <c r="O35" s="10" t="s">
        <v>24</v>
      </c>
      <c r="P35" s="2"/>
    </row>
    <row r="36" spans="1:16" x14ac:dyDescent="0.3">
      <c r="A36" s="2"/>
      <c r="B36" s="8" t="s">
        <v>47</v>
      </c>
      <c r="C36" s="8" t="s">
        <v>203</v>
      </c>
      <c r="D36" s="29">
        <f t="shared" ref="D36:M36" si="20">IF(D$8&gt;D$11,D45*2,D45)</f>
        <v>600</v>
      </c>
      <c r="E36" s="29">
        <f t="shared" si="20"/>
        <v>600</v>
      </c>
      <c r="F36" s="29">
        <f t="shared" si="20"/>
        <v>800</v>
      </c>
      <c r="G36" s="29">
        <f t="shared" si="20"/>
        <v>800</v>
      </c>
      <c r="H36" s="29">
        <f t="shared" si="20"/>
        <v>1000</v>
      </c>
      <c r="I36" s="29">
        <f t="shared" si="20"/>
        <v>1000</v>
      </c>
      <c r="J36" s="29">
        <f t="shared" si="20"/>
        <v>1000</v>
      </c>
      <c r="K36" s="29">
        <f t="shared" si="20"/>
        <v>1000</v>
      </c>
      <c r="L36" s="29">
        <f t="shared" si="20"/>
        <v>1000</v>
      </c>
      <c r="M36" s="29">
        <f t="shared" si="20"/>
        <v>1000</v>
      </c>
      <c r="N36" s="8" t="s">
        <v>48</v>
      </c>
      <c r="O36" s="10" t="s">
        <v>147</v>
      </c>
      <c r="P36" s="2"/>
    </row>
    <row r="37" spans="1:16" x14ac:dyDescent="0.3">
      <c r="A37" s="2"/>
      <c r="B37" s="8" t="s">
        <v>49</v>
      </c>
      <c r="C37" s="8" t="s">
        <v>204</v>
      </c>
      <c r="D37" s="20">
        <v>25000</v>
      </c>
      <c r="E37" s="15">
        <v>25000</v>
      </c>
      <c r="F37" s="15">
        <v>40000</v>
      </c>
      <c r="G37" s="15">
        <v>40000</v>
      </c>
      <c r="H37" s="15">
        <v>60000</v>
      </c>
      <c r="I37" s="15">
        <v>60000</v>
      </c>
      <c r="J37" s="15">
        <v>110000</v>
      </c>
      <c r="K37" s="15">
        <v>120000</v>
      </c>
      <c r="L37" s="15">
        <v>110000</v>
      </c>
      <c r="M37" s="15">
        <v>120000</v>
      </c>
      <c r="N37" s="8" t="s">
        <v>50</v>
      </c>
      <c r="O37" s="10" t="s">
        <v>24</v>
      </c>
    </row>
    <row r="38" spans="1:16" x14ac:dyDescent="0.3">
      <c r="A38" s="2"/>
      <c r="B38" s="8" t="s">
        <v>51</v>
      </c>
      <c r="C38" s="8" t="s">
        <v>204</v>
      </c>
      <c r="D38" s="20">
        <v>5000</v>
      </c>
      <c r="E38" s="15">
        <v>5000</v>
      </c>
      <c r="F38" s="15">
        <v>6500</v>
      </c>
      <c r="G38" s="15">
        <v>6500</v>
      </c>
      <c r="H38" s="15">
        <v>8000</v>
      </c>
      <c r="I38" s="15">
        <v>8000</v>
      </c>
      <c r="J38" s="15">
        <v>10000</v>
      </c>
      <c r="K38" s="15">
        <v>10000</v>
      </c>
      <c r="L38" s="15">
        <v>10000</v>
      </c>
      <c r="M38" s="15">
        <v>10000</v>
      </c>
      <c r="N38" s="8" t="s">
        <v>50</v>
      </c>
      <c r="O38" s="10" t="s">
        <v>24</v>
      </c>
      <c r="P38" s="2"/>
    </row>
    <row r="39" spans="1:16" x14ac:dyDescent="0.3">
      <c r="A39" s="2"/>
      <c r="B39" s="8" t="s">
        <v>52</v>
      </c>
      <c r="C39" s="8" t="s">
        <v>204</v>
      </c>
      <c r="D39" s="29">
        <f t="shared" ref="D39:M39" si="21">IF(D$8&gt;D$11,D46*2,D46)</f>
        <v>400</v>
      </c>
      <c r="E39" s="29">
        <f t="shared" si="21"/>
        <v>400</v>
      </c>
      <c r="F39" s="29">
        <f t="shared" si="21"/>
        <v>500</v>
      </c>
      <c r="G39" s="29">
        <f t="shared" si="21"/>
        <v>500</v>
      </c>
      <c r="H39" s="29">
        <f t="shared" si="21"/>
        <v>600</v>
      </c>
      <c r="I39" s="29">
        <f t="shared" si="21"/>
        <v>600</v>
      </c>
      <c r="J39" s="29">
        <f t="shared" si="21"/>
        <v>600</v>
      </c>
      <c r="K39" s="29">
        <f t="shared" si="21"/>
        <v>600</v>
      </c>
      <c r="L39" s="29">
        <f t="shared" si="21"/>
        <v>600</v>
      </c>
      <c r="M39" s="29">
        <f t="shared" si="21"/>
        <v>600</v>
      </c>
      <c r="N39" s="8" t="s">
        <v>48</v>
      </c>
      <c r="O39" s="10" t="s">
        <v>148</v>
      </c>
      <c r="P39" s="2"/>
    </row>
    <row r="40" spans="1:16" x14ac:dyDescent="0.3">
      <c r="A40" s="2"/>
      <c r="B40" s="8" t="s">
        <v>53</v>
      </c>
      <c r="C40" s="8" t="s">
        <v>204</v>
      </c>
      <c r="D40" s="20">
        <v>6000</v>
      </c>
      <c r="E40" s="15">
        <v>6000</v>
      </c>
      <c r="F40" s="15">
        <v>7000</v>
      </c>
      <c r="G40" s="15">
        <v>7000</v>
      </c>
      <c r="H40" s="15">
        <v>8000</v>
      </c>
      <c r="I40" s="15">
        <v>8000</v>
      </c>
      <c r="J40" s="15">
        <v>10000</v>
      </c>
      <c r="K40" s="15">
        <v>10000</v>
      </c>
      <c r="L40" s="15">
        <v>10000</v>
      </c>
      <c r="M40" s="15">
        <v>10000</v>
      </c>
      <c r="N40" s="8" t="s">
        <v>54</v>
      </c>
      <c r="O40" s="10" t="s">
        <v>55</v>
      </c>
      <c r="P40" s="2"/>
    </row>
    <row r="41" spans="1:16" x14ac:dyDescent="0.3">
      <c r="A41" s="2"/>
      <c r="B41" s="8" t="s">
        <v>108</v>
      </c>
      <c r="C41" s="8" t="s">
        <v>205</v>
      </c>
      <c r="D41" s="20">
        <v>900000</v>
      </c>
      <c r="E41" s="15">
        <v>1300000</v>
      </c>
      <c r="F41" s="15">
        <v>1900000</v>
      </c>
      <c r="G41" s="15">
        <v>2600000</v>
      </c>
      <c r="H41" s="15">
        <v>2900000</v>
      </c>
      <c r="I41" s="15">
        <v>3700000</v>
      </c>
      <c r="J41" s="15">
        <v>4100000</v>
      </c>
      <c r="K41" s="15">
        <v>4600000</v>
      </c>
      <c r="L41" s="15">
        <v>4100000</v>
      </c>
      <c r="M41" s="15">
        <v>4600000</v>
      </c>
      <c r="N41" s="8" t="s">
        <v>56</v>
      </c>
      <c r="O41" s="10" t="s">
        <v>57</v>
      </c>
    </row>
    <row r="42" spans="1:16" x14ac:dyDescent="0.3">
      <c r="A42" s="2"/>
      <c r="B42" s="8" t="s">
        <v>58</v>
      </c>
      <c r="C42" s="8" t="s">
        <v>205</v>
      </c>
      <c r="D42" s="21">
        <v>0.05</v>
      </c>
      <c r="E42" s="16">
        <v>0.05</v>
      </c>
      <c r="F42" s="16">
        <v>0.05</v>
      </c>
      <c r="G42" s="16">
        <v>0.05</v>
      </c>
      <c r="H42" s="16">
        <v>0.05</v>
      </c>
      <c r="I42" s="16">
        <v>0.05</v>
      </c>
      <c r="J42" s="16">
        <v>0.05</v>
      </c>
      <c r="K42" s="16">
        <v>0.05</v>
      </c>
      <c r="L42" s="16">
        <v>0.05</v>
      </c>
      <c r="M42" s="16">
        <v>0.05</v>
      </c>
      <c r="N42" s="8" t="s">
        <v>59</v>
      </c>
      <c r="O42" s="10" t="s">
        <v>60</v>
      </c>
      <c r="P42" s="2"/>
    </row>
    <row r="43" spans="1:16" x14ac:dyDescent="0.3">
      <c r="A43" s="2"/>
      <c r="B43" s="8" t="s">
        <v>61</v>
      </c>
      <c r="C43" s="8" t="s">
        <v>205</v>
      </c>
      <c r="D43" s="20">
        <v>15</v>
      </c>
      <c r="E43" s="15">
        <v>15</v>
      </c>
      <c r="F43" s="15">
        <v>15</v>
      </c>
      <c r="G43" s="15">
        <v>15</v>
      </c>
      <c r="H43" s="15">
        <v>15</v>
      </c>
      <c r="I43" s="15">
        <v>15</v>
      </c>
      <c r="J43" s="15">
        <v>15</v>
      </c>
      <c r="K43" s="15">
        <v>15</v>
      </c>
      <c r="L43" s="15">
        <v>15</v>
      </c>
      <c r="M43" s="15">
        <v>15</v>
      </c>
      <c r="N43" s="8" t="s">
        <v>62</v>
      </c>
      <c r="O43" s="10" t="s">
        <v>63</v>
      </c>
    </row>
    <row r="44" spans="1:16" x14ac:dyDescent="0.3">
      <c r="A44" s="2"/>
      <c r="B44" s="30" t="s">
        <v>64</v>
      </c>
      <c r="C44" s="30"/>
      <c r="D44" s="33">
        <f t="shared" ref="D44:M44" si="22">(D41*(1-D42))/D43</f>
        <v>57000</v>
      </c>
      <c r="E44" s="33">
        <f t="shared" si="22"/>
        <v>82333.333333333328</v>
      </c>
      <c r="F44" s="33">
        <f t="shared" si="22"/>
        <v>120333.33333333333</v>
      </c>
      <c r="G44" s="33">
        <f t="shared" si="22"/>
        <v>164666.66666666666</v>
      </c>
      <c r="H44" s="33">
        <f t="shared" si="22"/>
        <v>183666.66666666666</v>
      </c>
      <c r="I44" s="33">
        <f t="shared" si="22"/>
        <v>234333.33333333334</v>
      </c>
      <c r="J44" s="33">
        <f t="shared" si="22"/>
        <v>259666.66666666666</v>
      </c>
      <c r="K44" s="33">
        <f t="shared" si="22"/>
        <v>291333.33333333331</v>
      </c>
      <c r="L44" s="33">
        <f t="shared" si="22"/>
        <v>259666.66666666666</v>
      </c>
      <c r="M44" s="33">
        <f t="shared" si="22"/>
        <v>291333.33333333331</v>
      </c>
      <c r="N44" s="30" t="s">
        <v>50</v>
      </c>
      <c r="O44" s="32" t="s">
        <v>65</v>
      </c>
    </row>
    <row r="45" spans="1:16" x14ac:dyDescent="0.3">
      <c r="A45" s="2"/>
      <c r="B45" s="8" t="s">
        <v>143</v>
      </c>
      <c r="C45" s="8" t="s">
        <v>204</v>
      </c>
      <c r="D45" s="20">
        <v>300</v>
      </c>
      <c r="E45" s="20">
        <v>300</v>
      </c>
      <c r="F45" s="20">
        <v>400</v>
      </c>
      <c r="G45" s="20">
        <v>400</v>
      </c>
      <c r="H45" s="20">
        <v>500</v>
      </c>
      <c r="I45" s="20">
        <v>500</v>
      </c>
      <c r="J45" s="20">
        <v>500</v>
      </c>
      <c r="K45" s="20">
        <v>500</v>
      </c>
      <c r="L45" s="20">
        <v>500</v>
      </c>
      <c r="M45" s="20">
        <v>500</v>
      </c>
      <c r="N45" s="8" t="s">
        <v>48</v>
      </c>
      <c r="O45" s="10" t="s">
        <v>144</v>
      </c>
    </row>
    <row r="46" spans="1:16" x14ac:dyDescent="0.3">
      <c r="A46" s="2"/>
      <c r="B46" s="8" t="s">
        <v>145</v>
      </c>
      <c r="C46" s="8" t="s">
        <v>204</v>
      </c>
      <c r="D46" s="20">
        <v>200</v>
      </c>
      <c r="E46" s="20">
        <v>200</v>
      </c>
      <c r="F46" s="20">
        <v>250</v>
      </c>
      <c r="G46" s="20">
        <v>250</v>
      </c>
      <c r="H46" s="20">
        <v>300</v>
      </c>
      <c r="I46" s="20">
        <v>300</v>
      </c>
      <c r="J46" s="20">
        <v>300</v>
      </c>
      <c r="K46" s="20">
        <v>300</v>
      </c>
      <c r="L46" s="20">
        <v>300</v>
      </c>
      <c r="M46" s="20">
        <v>300</v>
      </c>
      <c r="N46" s="8" t="s">
        <v>48</v>
      </c>
      <c r="O46" s="10" t="s">
        <v>146</v>
      </c>
    </row>
    <row r="47" spans="1:16" x14ac:dyDescent="0.3">
      <c r="A47" s="2"/>
      <c r="B47" s="6" t="s">
        <v>66</v>
      </c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6" x14ac:dyDescent="0.3">
      <c r="A48" s="2"/>
      <c r="B48" s="7" t="s">
        <v>5</v>
      </c>
      <c r="C48" s="7"/>
      <c r="D48" s="7" t="s">
        <v>79</v>
      </c>
      <c r="E48" s="7" t="s">
        <v>80</v>
      </c>
      <c r="F48" s="7" t="s">
        <v>81</v>
      </c>
      <c r="G48" s="7" t="s">
        <v>82</v>
      </c>
      <c r="H48" s="7" t="s">
        <v>83</v>
      </c>
      <c r="I48" s="7" t="s">
        <v>84</v>
      </c>
      <c r="J48" s="7" t="s">
        <v>85</v>
      </c>
      <c r="K48" s="7" t="s">
        <v>86</v>
      </c>
      <c r="L48" s="7" t="s">
        <v>77</v>
      </c>
      <c r="M48" s="7" t="s">
        <v>78</v>
      </c>
      <c r="N48" s="7" t="s">
        <v>6</v>
      </c>
      <c r="O48" s="7" t="s">
        <v>7</v>
      </c>
    </row>
    <row r="49" spans="1:15" x14ac:dyDescent="0.3">
      <c r="A49" s="2"/>
      <c r="B49" s="8" t="s">
        <v>67</v>
      </c>
      <c r="C49" s="8"/>
      <c r="D49" s="21">
        <v>0.25</v>
      </c>
      <c r="E49" s="16">
        <v>0.25</v>
      </c>
      <c r="F49" s="16">
        <v>0.25</v>
      </c>
      <c r="G49" s="16">
        <v>0.25</v>
      </c>
      <c r="H49" s="16">
        <v>0.25</v>
      </c>
      <c r="I49" s="16">
        <v>0.25</v>
      </c>
      <c r="J49" s="16">
        <v>0.25</v>
      </c>
      <c r="K49" s="16">
        <v>0.25</v>
      </c>
      <c r="L49" s="16">
        <v>0.25</v>
      </c>
      <c r="M49" s="16">
        <v>0.25</v>
      </c>
      <c r="N49" s="8" t="s">
        <v>59</v>
      </c>
      <c r="O49" s="10" t="s">
        <v>68</v>
      </c>
    </row>
    <row r="50" spans="1:15" x14ac:dyDescent="0.3">
      <c r="A50" s="2"/>
      <c r="B50" s="8" t="s">
        <v>69</v>
      </c>
      <c r="C50" s="8"/>
      <c r="D50" s="19">
        <v>4</v>
      </c>
      <c r="E50" s="12">
        <v>4</v>
      </c>
      <c r="F50" s="12">
        <v>4</v>
      </c>
      <c r="G50" s="12">
        <v>4</v>
      </c>
      <c r="H50" s="12">
        <v>4</v>
      </c>
      <c r="I50" s="12">
        <v>4</v>
      </c>
      <c r="J50" s="12">
        <v>4</v>
      </c>
      <c r="K50" s="12">
        <v>4</v>
      </c>
      <c r="L50" s="12">
        <v>4</v>
      </c>
      <c r="M50" s="12">
        <v>4</v>
      </c>
      <c r="N50" s="8" t="s">
        <v>70</v>
      </c>
      <c r="O50" s="10" t="s">
        <v>71</v>
      </c>
    </row>
    <row r="51" spans="1:15" x14ac:dyDescent="0.3">
      <c r="A51" s="2"/>
      <c r="B51" s="8" t="s">
        <v>102</v>
      </c>
      <c r="C51" s="8"/>
      <c r="D51" s="19">
        <v>200</v>
      </c>
      <c r="E51" s="12">
        <v>200</v>
      </c>
      <c r="F51" s="12">
        <v>200</v>
      </c>
      <c r="G51" s="12">
        <v>200</v>
      </c>
      <c r="H51" s="12">
        <v>300</v>
      </c>
      <c r="I51" s="12">
        <v>300</v>
      </c>
      <c r="J51" s="12">
        <v>500</v>
      </c>
      <c r="K51" s="12">
        <v>500</v>
      </c>
      <c r="L51" s="12">
        <v>500</v>
      </c>
      <c r="M51" s="12">
        <v>500</v>
      </c>
      <c r="N51" s="8" t="s">
        <v>106</v>
      </c>
      <c r="O51" s="10"/>
    </row>
    <row r="52" spans="1:15" x14ac:dyDescent="0.3">
      <c r="A52" s="2"/>
      <c r="B52" s="8" t="s">
        <v>72</v>
      </c>
      <c r="C52" s="8"/>
      <c r="D52" s="19">
        <v>200</v>
      </c>
      <c r="E52" s="12">
        <v>200</v>
      </c>
      <c r="F52" s="12">
        <v>300</v>
      </c>
      <c r="G52" s="12">
        <v>300</v>
      </c>
      <c r="H52" s="12">
        <v>400</v>
      </c>
      <c r="I52" s="12">
        <v>400</v>
      </c>
      <c r="J52" s="12">
        <v>500</v>
      </c>
      <c r="K52" s="12">
        <v>500</v>
      </c>
      <c r="L52" s="12">
        <v>500</v>
      </c>
      <c r="M52" s="12">
        <v>500</v>
      </c>
      <c r="N52" s="8" t="s">
        <v>73</v>
      </c>
      <c r="O52" s="10" t="s">
        <v>74</v>
      </c>
    </row>
    <row r="53" spans="1:15" x14ac:dyDescent="0.3">
      <c r="A53" s="2"/>
      <c r="B53" s="8" t="s">
        <v>75</v>
      </c>
      <c r="C53" s="8"/>
      <c r="D53" s="19">
        <v>1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  <c r="N53" s="8" t="s">
        <v>21</v>
      </c>
      <c r="O53" s="10" t="s">
        <v>76</v>
      </c>
    </row>
    <row r="56" spans="1:15" x14ac:dyDescent="0.3">
      <c r="B56" s="22" t="s">
        <v>109</v>
      </c>
      <c r="C56" s="22"/>
    </row>
    <row r="57" spans="1:15" x14ac:dyDescent="0.3">
      <c r="B57" s="23" t="s">
        <v>5</v>
      </c>
      <c r="C57" s="23" t="s">
        <v>0</v>
      </c>
      <c r="D57" s="23" t="s">
        <v>1</v>
      </c>
      <c r="E57" s="23" t="s">
        <v>2</v>
      </c>
      <c r="F57" s="23" t="s">
        <v>110</v>
      </c>
      <c r="G57" s="23" t="s">
        <v>6</v>
      </c>
      <c r="H57" s="37" t="s">
        <v>111</v>
      </c>
    </row>
    <row r="58" spans="1:15" x14ac:dyDescent="0.3">
      <c r="B58" s="24" t="s">
        <v>112</v>
      </c>
      <c r="C58" s="25">
        <f>D15</f>
        <v>9.6</v>
      </c>
      <c r="D58" s="25">
        <f>F15</f>
        <v>3.8</v>
      </c>
      <c r="E58" s="25">
        <f>H15</f>
        <v>3.4</v>
      </c>
      <c r="F58" s="25">
        <f>J15</f>
        <v>2.5</v>
      </c>
      <c r="G58" s="24" t="s">
        <v>23</v>
      </c>
      <c r="H58" s="28" t="s">
        <v>113</v>
      </c>
    </row>
    <row r="59" spans="1:15" x14ac:dyDescent="0.3">
      <c r="B59" s="24" t="s">
        <v>114</v>
      </c>
      <c r="C59" s="25">
        <f>E15</f>
        <v>9.6</v>
      </c>
      <c r="D59" s="25">
        <f>G15</f>
        <v>3.8</v>
      </c>
      <c r="E59" s="25">
        <f>I15</f>
        <v>3.4</v>
      </c>
      <c r="F59" s="25">
        <f>K15</f>
        <v>2.5</v>
      </c>
      <c r="G59" s="24" t="s">
        <v>23</v>
      </c>
      <c r="H59" s="28" t="s">
        <v>115</v>
      </c>
    </row>
    <row r="60" spans="1:15" x14ac:dyDescent="0.3">
      <c r="B60" s="24" t="s">
        <v>116</v>
      </c>
      <c r="C60" s="26">
        <f>D17</f>
        <v>1500</v>
      </c>
      <c r="D60" s="26">
        <f>F17</f>
        <v>3000</v>
      </c>
      <c r="E60" s="26">
        <f>H17</f>
        <v>6000</v>
      </c>
      <c r="F60" s="26">
        <f>J17</f>
        <v>10000</v>
      </c>
      <c r="G60" s="24" t="s">
        <v>29</v>
      </c>
      <c r="H60" s="28" t="s">
        <v>117</v>
      </c>
    </row>
    <row r="61" spans="1:15" x14ac:dyDescent="0.3">
      <c r="B61" s="24" t="s">
        <v>118</v>
      </c>
      <c r="C61" s="26">
        <f>D18</f>
        <v>10000</v>
      </c>
      <c r="D61" s="26">
        <f>F18</f>
        <v>10000</v>
      </c>
      <c r="E61" s="26">
        <f>H18</f>
        <v>10000</v>
      </c>
      <c r="F61" s="26">
        <f>J18</f>
        <v>10000</v>
      </c>
      <c r="G61" s="24" t="s">
        <v>32</v>
      </c>
      <c r="H61" s="28" t="s">
        <v>119</v>
      </c>
    </row>
    <row r="62" spans="1:15" x14ac:dyDescent="0.3">
      <c r="B62" s="24" t="s">
        <v>120</v>
      </c>
      <c r="C62" s="26">
        <f>D21</f>
        <v>3500</v>
      </c>
      <c r="D62" s="26">
        <f>F21</f>
        <v>5000</v>
      </c>
      <c r="E62" s="26">
        <f>H21</f>
        <v>6000</v>
      </c>
      <c r="F62" s="26">
        <f>J21</f>
        <v>10000</v>
      </c>
      <c r="G62" s="24" t="s">
        <v>121</v>
      </c>
      <c r="H62" s="28" t="s">
        <v>122</v>
      </c>
    </row>
    <row r="63" spans="1:15" x14ac:dyDescent="0.3">
      <c r="B63" s="24" t="s">
        <v>123</v>
      </c>
      <c r="C63" s="26">
        <f>D23</f>
        <v>50000</v>
      </c>
      <c r="D63" s="26">
        <f>F23</f>
        <v>80000</v>
      </c>
      <c r="E63" s="26">
        <f>H23</f>
        <v>100000</v>
      </c>
      <c r="F63" s="26">
        <f>J23</f>
        <v>100000</v>
      </c>
      <c r="G63" s="24" t="s">
        <v>9</v>
      </c>
      <c r="H63" s="28" t="s">
        <v>124</v>
      </c>
    </row>
    <row r="64" spans="1:15" x14ac:dyDescent="0.3">
      <c r="B64" s="24" t="s">
        <v>125</v>
      </c>
      <c r="C64" s="25">
        <f>D25</f>
        <v>0.4</v>
      </c>
      <c r="D64" s="25">
        <f>F25</f>
        <v>1.1000000000000001</v>
      </c>
      <c r="E64" s="25">
        <f>H25</f>
        <v>1.5</v>
      </c>
      <c r="F64" s="25">
        <f>J25</f>
        <v>1.5</v>
      </c>
      <c r="G64" s="24" t="s">
        <v>26</v>
      </c>
      <c r="H64" s="28" t="s">
        <v>126</v>
      </c>
    </row>
    <row r="65" spans="2:8" x14ac:dyDescent="0.3">
      <c r="B65" s="24" t="s">
        <v>186</v>
      </c>
      <c r="C65" s="26">
        <f>D35</f>
        <v>12000</v>
      </c>
      <c r="D65" s="26">
        <f>F35</f>
        <v>12000</v>
      </c>
      <c r="E65" s="26">
        <f>H35</f>
        <v>12000</v>
      </c>
      <c r="F65" s="26">
        <f>J35</f>
        <v>12000</v>
      </c>
      <c r="G65" s="24" t="s">
        <v>46</v>
      </c>
      <c r="H65" s="28" t="s">
        <v>127</v>
      </c>
    </row>
    <row r="66" spans="2:8" x14ac:dyDescent="0.3">
      <c r="B66" s="24" t="s">
        <v>187</v>
      </c>
      <c r="C66" s="26">
        <f>D45</f>
        <v>300</v>
      </c>
      <c r="D66" s="26">
        <f>F45</f>
        <v>400</v>
      </c>
      <c r="E66" s="26">
        <f>H45</f>
        <v>500</v>
      </c>
      <c r="F66" s="26">
        <f>J45</f>
        <v>500</v>
      </c>
      <c r="G66" s="24" t="s">
        <v>48</v>
      </c>
      <c r="H66" s="28" t="s">
        <v>149</v>
      </c>
    </row>
    <row r="67" spans="2:8" x14ac:dyDescent="0.3">
      <c r="B67" s="24" t="s">
        <v>188</v>
      </c>
      <c r="C67" s="26">
        <f>D37</f>
        <v>25000</v>
      </c>
      <c r="D67" s="26">
        <f>F37</f>
        <v>40000</v>
      </c>
      <c r="E67" s="26">
        <f>H37</f>
        <v>60000</v>
      </c>
      <c r="F67" s="26">
        <f>J37</f>
        <v>110000</v>
      </c>
      <c r="G67" s="24" t="s">
        <v>50</v>
      </c>
      <c r="H67" s="28" t="s">
        <v>128</v>
      </c>
    </row>
    <row r="68" spans="2:8" x14ac:dyDescent="0.3">
      <c r="B68" s="24" t="s">
        <v>189</v>
      </c>
      <c r="C68" s="26">
        <f>D38</f>
        <v>5000</v>
      </c>
      <c r="D68" s="26">
        <f>F38</f>
        <v>6500</v>
      </c>
      <c r="E68" s="26">
        <f>H38</f>
        <v>8000</v>
      </c>
      <c r="F68" s="26">
        <f>J38</f>
        <v>10000</v>
      </c>
      <c r="G68" s="24" t="s">
        <v>50</v>
      </c>
      <c r="H68" s="28" t="s">
        <v>129</v>
      </c>
    </row>
    <row r="69" spans="2:8" x14ac:dyDescent="0.3">
      <c r="B69" s="24" t="s">
        <v>190</v>
      </c>
      <c r="C69" s="26">
        <f>D46</f>
        <v>200</v>
      </c>
      <c r="D69" s="26">
        <f>F46</f>
        <v>250</v>
      </c>
      <c r="E69" s="26">
        <f>H46</f>
        <v>300</v>
      </c>
      <c r="F69" s="26">
        <f>J46</f>
        <v>300</v>
      </c>
      <c r="G69" s="24" t="s">
        <v>48</v>
      </c>
      <c r="H69" s="28" t="s">
        <v>150</v>
      </c>
    </row>
    <row r="70" spans="2:8" x14ac:dyDescent="0.3">
      <c r="B70" s="24" t="s">
        <v>191</v>
      </c>
      <c r="C70" s="26">
        <f>D40</f>
        <v>6000</v>
      </c>
      <c r="D70" s="26">
        <f>F40</f>
        <v>7000</v>
      </c>
      <c r="E70" s="26">
        <f>H40</f>
        <v>8000</v>
      </c>
      <c r="F70" s="26">
        <f>J40</f>
        <v>10000</v>
      </c>
      <c r="G70" s="24" t="s">
        <v>54</v>
      </c>
      <c r="H70" s="28" t="s">
        <v>130</v>
      </c>
    </row>
    <row r="71" spans="2:8" x14ac:dyDescent="0.3">
      <c r="B71" s="24" t="s">
        <v>192</v>
      </c>
      <c r="C71" s="26">
        <f>D41</f>
        <v>900000</v>
      </c>
      <c r="D71" s="26">
        <f>F41</f>
        <v>1900000</v>
      </c>
      <c r="E71" s="26">
        <f>H41</f>
        <v>2900000</v>
      </c>
      <c r="F71" s="26">
        <f>J41</f>
        <v>4100000</v>
      </c>
      <c r="G71" s="24" t="s">
        <v>56</v>
      </c>
      <c r="H71" s="28" t="s">
        <v>131</v>
      </c>
    </row>
    <row r="72" spans="2:8" x14ac:dyDescent="0.3">
      <c r="B72" s="24" t="s">
        <v>193</v>
      </c>
      <c r="C72" s="26">
        <f>E41</f>
        <v>1300000</v>
      </c>
      <c r="D72" s="26">
        <f>G41</f>
        <v>2600000</v>
      </c>
      <c r="E72" s="26">
        <f>I41</f>
        <v>3700000</v>
      </c>
      <c r="F72" s="26">
        <f>K41</f>
        <v>4600000</v>
      </c>
      <c r="G72" s="24" t="s">
        <v>56</v>
      </c>
      <c r="H72" s="28" t="s">
        <v>132</v>
      </c>
    </row>
    <row r="73" spans="2:8" x14ac:dyDescent="0.3">
      <c r="B73" s="24" t="s">
        <v>194</v>
      </c>
      <c r="C73" s="27" t="s">
        <v>133</v>
      </c>
      <c r="D73" s="27" t="s">
        <v>133</v>
      </c>
      <c r="E73" s="27" t="s">
        <v>133</v>
      </c>
      <c r="F73" s="27" t="s">
        <v>133</v>
      </c>
      <c r="G73" s="24" t="s">
        <v>134</v>
      </c>
      <c r="H73" s="28" t="s">
        <v>135</v>
      </c>
    </row>
    <row r="74" spans="2:8" x14ac:dyDescent="0.3">
      <c r="B74" s="24" t="s">
        <v>195</v>
      </c>
      <c r="C74" s="27" t="s">
        <v>136</v>
      </c>
      <c r="D74" s="27" t="s">
        <v>136</v>
      </c>
      <c r="E74" s="27" t="s">
        <v>136</v>
      </c>
      <c r="F74" s="27" t="s">
        <v>136</v>
      </c>
      <c r="G74" s="24" t="s">
        <v>137</v>
      </c>
      <c r="H74" s="28" t="s">
        <v>138</v>
      </c>
    </row>
    <row r="75" spans="2:8" x14ac:dyDescent="0.3">
      <c r="B75" s="24" t="s">
        <v>196</v>
      </c>
      <c r="C75" s="26">
        <f>D51</f>
        <v>200</v>
      </c>
      <c r="D75" s="26">
        <f>F51</f>
        <v>200</v>
      </c>
      <c r="E75" s="26">
        <f>H51</f>
        <v>300</v>
      </c>
      <c r="F75" s="26">
        <f>J51</f>
        <v>500</v>
      </c>
      <c r="G75" s="24" t="s">
        <v>106</v>
      </c>
      <c r="H75" s="28" t="s">
        <v>139</v>
      </c>
    </row>
    <row r="76" spans="2:8" x14ac:dyDescent="0.3">
      <c r="B76" s="24" t="s">
        <v>151</v>
      </c>
      <c r="C76" s="26">
        <f>D11</f>
        <v>200</v>
      </c>
      <c r="D76" s="26">
        <f>F11</f>
        <v>200</v>
      </c>
      <c r="E76" s="26">
        <f>H11</f>
        <v>200</v>
      </c>
      <c r="F76" s="26">
        <f>J11</f>
        <v>200</v>
      </c>
      <c r="G76" s="24" t="s">
        <v>9</v>
      </c>
      <c r="H76" s="28" t="s">
        <v>152</v>
      </c>
    </row>
    <row r="77" spans="2:8" x14ac:dyDescent="0.3">
      <c r="B77" s="35" t="s">
        <v>197</v>
      </c>
      <c r="C77" s="36">
        <f>D52</f>
        <v>200</v>
      </c>
      <c r="D77" s="36">
        <f>F52</f>
        <v>300</v>
      </c>
      <c r="E77" s="36">
        <f>H52</f>
        <v>400</v>
      </c>
      <c r="F77" s="36">
        <f>J52</f>
        <v>500</v>
      </c>
      <c r="G77" s="35" t="s">
        <v>73</v>
      </c>
      <c r="H77" s="10" t="s">
        <v>140</v>
      </c>
    </row>
    <row r="78" spans="2:8" x14ac:dyDescent="0.3">
      <c r="B78" s="82" t="s">
        <v>178</v>
      </c>
      <c r="C78" s="83">
        <f>E28</f>
        <v>3.75</v>
      </c>
      <c r="D78" s="83">
        <f>G28</f>
        <v>3.75</v>
      </c>
      <c r="E78" s="83">
        <f>I28</f>
        <v>3.75</v>
      </c>
      <c r="F78" s="83">
        <f>K28</f>
        <v>4</v>
      </c>
      <c r="G78" s="82" t="s">
        <v>172</v>
      </c>
      <c r="H78" s="84" t="s">
        <v>179</v>
      </c>
    </row>
    <row r="79" spans="2:8" x14ac:dyDescent="0.3">
      <c r="B79" s="35" t="s">
        <v>198</v>
      </c>
      <c r="C79" s="36">
        <f>E29</f>
        <v>90</v>
      </c>
      <c r="D79" s="36">
        <f>G29</f>
        <v>90</v>
      </c>
      <c r="E79" s="36">
        <f>I29</f>
        <v>90</v>
      </c>
      <c r="F79" s="36">
        <f>K29</f>
        <v>65</v>
      </c>
      <c r="G79" s="35" t="s">
        <v>182</v>
      </c>
      <c r="H79" s="10" t="s">
        <v>199</v>
      </c>
    </row>
    <row r="80" spans="2:8" x14ac:dyDescent="0.3">
      <c r="B80" s="35" t="s">
        <v>200</v>
      </c>
      <c r="C80" s="90">
        <f>E30</f>
        <v>1.3333333333333333</v>
      </c>
      <c r="D80" s="90">
        <f>G30</f>
        <v>1.3333333333333333</v>
      </c>
      <c r="E80" s="90">
        <f>I30</f>
        <v>1.3333333333333333</v>
      </c>
      <c r="F80" s="90">
        <f>K30</f>
        <v>1.8461538461538463</v>
      </c>
      <c r="G80" s="35" t="s">
        <v>174</v>
      </c>
      <c r="H80" s="10" t="s">
        <v>201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CEB1-C435-497F-A5AA-E8AB825C573B}">
  <dimension ref="A1:P31"/>
  <sheetViews>
    <sheetView showGridLines="0" zoomScale="75" zoomScaleNormal="115" workbookViewId="0">
      <pane xSplit="3" ySplit="4" topLeftCell="D6" activePane="bottomRight" state="frozen"/>
      <selection activeCell="B15" sqref="B15"/>
      <selection pane="topRight" activeCell="B15" sqref="B15"/>
      <selection pane="bottomLeft" activeCell="B15" sqref="B15"/>
      <selection pane="bottomRight" activeCell="B21" sqref="B21"/>
    </sheetView>
  </sheetViews>
  <sheetFormatPr defaultColWidth="8.77734375" defaultRowHeight="14.4" x14ac:dyDescent="0.3"/>
  <cols>
    <col min="1" max="1" width="11.21875" style="3" customWidth="1"/>
    <col min="2" max="2" width="47.5546875" style="3" customWidth="1"/>
    <col min="3" max="3" width="17.21875" style="3" customWidth="1"/>
    <col min="4" max="13" width="16.21875" style="3" customWidth="1"/>
    <col min="14" max="16384" width="8.77734375" style="3"/>
  </cols>
  <sheetData>
    <row r="1" spans="1:16" ht="15.6" x14ac:dyDescent="0.3">
      <c r="A1" s="1" t="s">
        <v>87</v>
      </c>
      <c r="B1" s="2"/>
      <c r="C1" s="2"/>
      <c r="D1" s="2"/>
      <c r="E1" s="2"/>
      <c r="F1" s="2"/>
      <c r="G1" s="2"/>
    </row>
    <row r="2" spans="1:16" x14ac:dyDescent="0.3">
      <c r="A2" s="4" t="s">
        <v>157</v>
      </c>
      <c r="B2" s="2"/>
      <c r="C2" s="2"/>
      <c r="D2" s="2"/>
      <c r="E2" s="2"/>
      <c r="F2" s="2"/>
      <c r="G2" s="2"/>
      <c r="P2" s="38" t="s">
        <v>153</v>
      </c>
    </row>
    <row r="3" spans="1:16" x14ac:dyDescent="0.3">
      <c r="A3" s="2"/>
      <c r="B3" s="2"/>
      <c r="C3" s="2"/>
      <c r="D3" s="98" t="s">
        <v>221</v>
      </c>
      <c r="E3" s="95"/>
      <c r="F3" s="95"/>
      <c r="G3" s="95"/>
      <c r="H3" s="96"/>
      <c r="I3" s="96"/>
      <c r="J3" s="96"/>
      <c r="K3" s="97"/>
      <c r="L3" s="93" t="s">
        <v>220</v>
      </c>
      <c r="M3" s="94"/>
      <c r="P3" s="34" t="s">
        <v>99</v>
      </c>
    </row>
    <row r="4" spans="1:16" ht="27" x14ac:dyDescent="0.3">
      <c r="A4" s="2"/>
      <c r="B4" s="39" t="s">
        <v>5</v>
      </c>
      <c r="C4" s="39" t="s">
        <v>6</v>
      </c>
      <c r="D4" s="91" t="str">
        <f>Assumption!D5</f>
        <v>4W - Dry</v>
      </c>
      <c r="E4" s="91" t="str">
        <f>Assumption!E5</f>
        <v>4W - Reefer</v>
      </c>
      <c r="F4" s="91" t="str">
        <f>Assumption!F5</f>
        <v>6W - Dry</v>
      </c>
      <c r="G4" s="91" t="str">
        <f>Assumption!G5</f>
        <v>6W - Reefer</v>
      </c>
      <c r="H4" s="91" t="str">
        <f>Assumption!H5</f>
        <v>10W - Dry</v>
      </c>
      <c r="I4" s="91" t="str">
        <f>Assumption!I5</f>
        <v>10W - Reefer</v>
      </c>
      <c r="J4" s="91" t="str">
        <f>Assumption!J5</f>
        <v>Container - Dry</v>
      </c>
      <c r="K4" s="91" t="str">
        <f>Assumption!K5</f>
        <v>Container - Reefer</v>
      </c>
      <c r="L4" s="91" t="str">
        <f>Assumption!L5</f>
        <v>Drayage - Dry</v>
      </c>
      <c r="M4" s="92" t="str">
        <f>Assumption!M5</f>
        <v>Drayage - Reefer</v>
      </c>
      <c r="P4" s="34" t="s">
        <v>154</v>
      </c>
    </row>
    <row r="5" spans="1:16" x14ac:dyDescent="0.3">
      <c r="A5" s="2"/>
      <c r="B5" s="40" t="s">
        <v>158</v>
      </c>
      <c r="C5" s="41" t="s">
        <v>159</v>
      </c>
      <c r="D5" s="42">
        <f>Assumption!D8</f>
        <v>240</v>
      </c>
      <c r="E5" s="42">
        <f>Assumption!E8</f>
        <v>240</v>
      </c>
      <c r="F5" s="42">
        <f>Assumption!F8</f>
        <v>240</v>
      </c>
      <c r="G5" s="42">
        <f>Assumption!G8</f>
        <v>240</v>
      </c>
      <c r="H5" s="42">
        <f>Assumption!H8</f>
        <v>240</v>
      </c>
      <c r="I5" s="42">
        <f>Assumption!I8</f>
        <v>240</v>
      </c>
      <c r="J5" s="42">
        <f>Assumption!J8</f>
        <v>240</v>
      </c>
      <c r="K5" s="42">
        <f>Assumption!K8</f>
        <v>240</v>
      </c>
      <c r="L5" s="42">
        <f>Assumption!L8</f>
        <v>240</v>
      </c>
      <c r="M5" s="43">
        <f>Assumption!M8</f>
        <v>240</v>
      </c>
      <c r="P5" s="34" t="s">
        <v>155</v>
      </c>
    </row>
    <row r="6" spans="1:16" x14ac:dyDescent="0.3">
      <c r="A6" s="2"/>
      <c r="B6" s="40" t="s">
        <v>15</v>
      </c>
      <c r="C6" s="41" t="s">
        <v>12</v>
      </c>
      <c r="D6" s="42">
        <f>Assumption!D9</f>
        <v>25</v>
      </c>
      <c r="E6" s="42">
        <f>Assumption!E9</f>
        <v>25</v>
      </c>
      <c r="F6" s="42">
        <f>Assumption!F9</f>
        <v>25</v>
      </c>
      <c r="G6" s="42">
        <f>Assumption!G9</f>
        <v>25</v>
      </c>
      <c r="H6" s="42">
        <f>Assumption!H9</f>
        <v>25</v>
      </c>
      <c r="I6" s="42">
        <f>Assumption!I9</f>
        <v>25</v>
      </c>
      <c r="J6" s="42">
        <f>Assumption!J9</f>
        <v>25</v>
      </c>
      <c r="K6" s="42">
        <f>Assumption!K9</f>
        <v>25</v>
      </c>
      <c r="L6" s="42">
        <f>Assumption!L9</f>
        <v>25</v>
      </c>
      <c r="M6" s="43">
        <f>Assumption!M9</f>
        <v>25</v>
      </c>
      <c r="P6" s="34" t="s">
        <v>156</v>
      </c>
    </row>
    <row r="7" spans="1:16" x14ac:dyDescent="0.3">
      <c r="A7" s="2"/>
      <c r="B7" s="40" t="s">
        <v>17</v>
      </c>
      <c r="C7" s="41" t="s">
        <v>12</v>
      </c>
      <c r="D7" s="42">
        <f>Assumption!D10</f>
        <v>300</v>
      </c>
      <c r="E7" s="42">
        <f>Assumption!E10</f>
        <v>300</v>
      </c>
      <c r="F7" s="42">
        <f>Assumption!F10</f>
        <v>300</v>
      </c>
      <c r="G7" s="42">
        <f>Assumption!G10</f>
        <v>300</v>
      </c>
      <c r="H7" s="42">
        <f>Assumption!H10</f>
        <v>300</v>
      </c>
      <c r="I7" s="42">
        <f>Assumption!I10</f>
        <v>300</v>
      </c>
      <c r="J7" s="42">
        <f>Assumption!J10</f>
        <v>300</v>
      </c>
      <c r="K7" s="42">
        <f>Assumption!K10</f>
        <v>300</v>
      </c>
      <c r="L7" s="42">
        <f>Assumption!L10</f>
        <v>300</v>
      </c>
      <c r="M7" s="43">
        <f>Assumption!M10</f>
        <v>300</v>
      </c>
    </row>
    <row r="8" spans="1:16" x14ac:dyDescent="0.3">
      <c r="A8" s="2"/>
      <c r="B8" s="40"/>
      <c r="C8" s="41"/>
      <c r="D8" s="44"/>
      <c r="E8" s="44"/>
      <c r="F8" s="44"/>
      <c r="G8" s="44"/>
      <c r="H8" s="44"/>
      <c r="I8" s="44"/>
      <c r="J8" s="44"/>
      <c r="K8" s="44"/>
      <c r="L8" s="44"/>
      <c r="M8" s="45"/>
    </row>
    <row r="9" spans="1:16" x14ac:dyDescent="0.3">
      <c r="A9" s="2"/>
      <c r="B9" s="46" t="s">
        <v>160</v>
      </c>
      <c r="C9" s="47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6" x14ac:dyDescent="0.3">
      <c r="A10" s="2"/>
      <c r="B10" s="40" t="s">
        <v>88</v>
      </c>
      <c r="C10" s="41" t="s">
        <v>161</v>
      </c>
      <c r="D10" s="50">
        <f>Assumption!D16*D$5</f>
        <v>1200</v>
      </c>
      <c r="E10" s="50">
        <f>Assumption!E16*E$5</f>
        <v>1200</v>
      </c>
      <c r="F10" s="50">
        <f>Assumption!F16*F$5</f>
        <v>3031.5789473684213</v>
      </c>
      <c r="G10" s="50">
        <f>Assumption!G16*G$5</f>
        <v>3031.5789473684213</v>
      </c>
      <c r="H10" s="50">
        <f>Assumption!H16*H$5</f>
        <v>3388.2352941176468</v>
      </c>
      <c r="I10" s="50">
        <f>Assumption!I16*I$5</f>
        <v>3388.2352941176468</v>
      </c>
      <c r="J10" s="50">
        <f>Assumption!J16*J$5</f>
        <v>4608</v>
      </c>
      <c r="K10" s="50">
        <f>Assumption!K16*K$5</f>
        <v>4608</v>
      </c>
      <c r="L10" s="50">
        <f>Assumption!L16*L$5</f>
        <v>4608</v>
      </c>
      <c r="M10" s="51">
        <f>Assumption!M16*M$5</f>
        <v>4608</v>
      </c>
    </row>
    <row r="11" spans="1:16" x14ac:dyDescent="0.3">
      <c r="A11" s="2"/>
      <c r="B11" s="40" t="s">
        <v>89</v>
      </c>
      <c r="C11" s="41" t="s">
        <v>161</v>
      </c>
      <c r="D11" s="50">
        <f>Assumption!D19*D$5</f>
        <v>36</v>
      </c>
      <c r="E11" s="50">
        <f>Assumption!E19*E$5</f>
        <v>36</v>
      </c>
      <c r="F11" s="50">
        <f>Assumption!F19*F$5</f>
        <v>72</v>
      </c>
      <c r="G11" s="50">
        <f>Assumption!G19*G$5</f>
        <v>72</v>
      </c>
      <c r="H11" s="50">
        <f>Assumption!H19*H$5</f>
        <v>144</v>
      </c>
      <c r="I11" s="50">
        <f>Assumption!I19*I$5</f>
        <v>144</v>
      </c>
      <c r="J11" s="50">
        <f>Assumption!J19*J$5</f>
        <v>240</v>
      </c>
      <c r="K11" s="50">
        <f>Assumption!K19*K$5</f>
        <v>240</v>
      </c>
      <c r="L11" s="50">
        <f>Assumption!L19*L$5</f>
        <v>240</v>
      </c>
      <c r="M11" s="51">
        <f>Assumption!M19*M$5</f>
        <v>240</v>
      </c>
    </row>
    <row r="12" spans="1:16" x14ac:dyDescent="0.3">
      <c r="A12" s="2"/>
      <c r="B12" s="40" t="s">
        <v>90</v>
      </c>
      <c r="C12" s="41" t="s">
        <v>161</v>
      </c>
      <c r="D12" s="50">
        <f>Assumption!D24*D$5</f>
        <v>67.2</v>
      </c>
      <c r="E12" s="50">
        <f>Assumption!E24*E$5</f>
        <v>67.2</v>
      </c>
      <c r="F12" s="50">
        <f>Assumption!F24*F$5</f>
        <v>90</v>
      </c>
      <c r="G12" s="50">
        <f>Assumption!G24*G$5</f>
        <v>90</v>
      </c>
      <c r="H12" s="50">
        <f>Assumption!H24*H$5</f>
        <v>144</v>
      </c>
      <c r="I12" s="50">
        <f>Assumption!I24*I$5</f>
        <v>144</v>
      </c>
      <c r="J12" s="50">
        <f>Assumption!J24*J$5</f>
        <v>528</v>
      </c>
      <c r="K12" s="50">
        <f>Assumption!K24*K$5</f>
        <v>528</v>
      </c>
      <c r="L12" s="50">
        <f>Assumption!L24*L$5</f>
        <v>528</v>
      </c>
      <c r="M12" s="51">
        <f>Assumption!M24*M$5</f>
        <v>528</v>
      </c>
    </row>
    <row r="13" spans="1:16" x14ac:dyDescent="0.3">
      <c r="A13" s="2"/>
      <c r="B13" s="40" t="s">
        <v>91</v>
      </c>
      <c r="C13" s="41" t="s">
        <v>161</v>
      </c>
      <c r="D13" s="50">
        <f>Assumption!D25*D$5</f>
        <v>96</v>
      </c>
      <c r="E13" s="50">
        <f>Assumption!E25*E$5</f>
        <v>96</v>
      </c>
      <c r="F13" s="50">
        <f>Assumption!F25*F$5</f>
        <v>264</v>
      </c>
      <c r="G13" s="50">
        <f>Assumption!G25*G$5</f>
        <v>264</v>
      </c>
      <c r="H13" s="50">
        <f>Assumption!H25*H$5</f>
        <v>360</v>
      </c>
      <c r="I13" s="50">
        <f>Assumption!I25*I$5</f>
        <v>360</v>
      </c>
      <c r="J13" s="50">
        <f>Assumption!J25*J$5</f>
        <v>360</v>
      </c>
      <c r="K13" s="50">
        <f>Assumption!K25*K$5</f>
        <v>360</v>
      </c>
      <c r="L13" s="50">
        <f>Assumption!L25*L$5</f>
        <v>360</v>
      </c>
      <c r="M13" s="51">
        <f>Assumption!M25*M$5</f>
        <v>360</v>
      </c>
    </row>
    <row r="14" spans="1:16" x14ac:dyDescent="0.3">
      <c r="A14" s="2"/>
      <c r="B14" s="40" t="s">
        <v>92</v>
      </c>
      <c r="C14" s="41" t="s">
        <v>93</v>
      </c>
      <c r="D14" s="50">
        <f>Assumption!D36</f>
        <v>600</v>
      </c>
      <c r="E14" s="50">
        <f>Assumption!E36</f>
        <v>600</v>
      </c>
      <c r="F14" s="50">
        <f>Assumption!F36</f>
        <v>800</v>
      </c>
      <c r="G14" s="50">
        <f>Assumption!G36</f>
        <v>800</v>
      </c>
      <c r="H14" s="50">
        <f>Assumption!H36</f>
        <v>1000</v>
      </c>
      <c r="I14" s="50">
        <f>Assumption!I36</f>
        <v>1000</v>
      </c>
      <c r="J14" s="50">
        <f>Assumption!J36</f>
        <v>1000</v>
      </c>
      <c r="K14" s="50">
        <f>Assumption!K36</f>
        <v>1000</v>
      </c>
      <c r="L14" s="50">
        <f>Assumption!L36</f>
        <v>1000</v>
      </c>
      <c r="M14" s="51">
        <f>Assumption!M36</f>
        <v>1000</v>
      </c>
    </row>
    <row r="15" spans="1:16" x14ac:dyDescent="0.3">
      <c r="A15" s="2"/>
      <c r="B15" s="40" t="s">
        <v>94</v>
      </c>
      <c r="C15" s="41" t="s">
        <v>93</v>
      </c>
      <c r="D15" s="50">
        <f>Assumption!D39</f>
        <v>400</v>
      </c>
      <c r="E15" s="50">
        <f>Assumption!E39</f>
        <v>400</v>
      </c>
      <c r="F15" s="50">
        <f>Assumption!F39</f>
        <v>500</v>
      </c>
      <c r="G15" s="50">
        <f>Assumption!G39</f>
        <v>500</v>
      </c>
      <c r="H15" s="50">
        <f>Assumption!H39</f>
        <v>600</v>
      </c>
      <c r="I15" s="50">
        <f>Assumption!I39</f>
        <v>600</v>
      </c>
      <c r="J15" s="50">
        <f>Assumption!J39</f>
        <v>600</v>
      </c>
      <c r="K15" s="50">
        <f>Assumption!K39</f>
        <v>600</v>
      </c>
      <c r="L15" s="50">
        <f>Assumption!L39</f>
        <v>600</v>
      </c>
      <c r="M15" s="51">
        <f>Assumption!M39</f>
        <v>600</v>
      </c>
    </row>
    <row r="16" spans="1:16" x14ac:dyDescent="0.3">
      <c r="A16" s="2"/>
      <c r="B16" s="40" t="s">
        <v>45</v>
      </c>
      <c r="C16" s="41" t="s">
        <v>95</v>
      </c>
      <c r="D16" s="50">
        <f>Assumption!D35/D$6</f>
        <v>480</v>
      </c>
      <c r="E16" s="50">
        <f>Assumption!E35/E$6</f>
        <v>480</v>
      </c>
      <c r="F16" s="50">
        <f>Assumption!F35/F$6</f>
        <v>480</v>
      </c>
      <c r="G16" s="50">
        <f>Assumption!G35/G$6</f>
        <v>480</v>
      </c>
      <c r="H16" s="50">
        <f>Assumption!H35/H$6</f>
        <v>480</v>
      </c>
      <c r="I16" s="50">
        <f>Assumption!I35/I$6</f>
        <v>480</v>
      </c>
      <c r="J16" s="50">
        <f>Assumption!J35/J$6</f>
        <v>480</v>
      </c>
      <c r="K16" s="50">
        <f>Assumption!K35/K$6</f>
        <v>480</v>
      </c>
      <c r="L16" s="50">
        <f>Assumption!L35/L$6</f>
        <v>480</v>
      </c>
      <c r="M16" s="51">
        <f>Assumption!M35/M$6</f>
        <v>480</v>
      </c>
    </row>
    <row r="17" spans="1:13" x14ac:dyDescent="0.3">
      <c r="A17" s="2"/>
      <c r="B17" s="40" t="s">
        <v>96</v>
      </c>
      <c r="C17" s="41" t="s">
        <v>95</v>
      </c>
      <c r="D17" s="50">
        <f>Assumption!D40/D$6</f>
        <v>240</v>
      </c>
      <c r="E17" s="50">
        <f>Assumption!E40/E$6</f>
        <v>240</v>
      </c>
      <c r="F17" s="50">
        <f>Assumption!F40/F$6</f>
        <v>280</v>
      </c>
      <c r="G17" s="50">
        <f>Assumption!G40/G$6</f>
        <v>280</v>
      </c>
      <c r="H17" s="50">
        <f>Assumption!H40/H$6</f>
        <v>320</v>
      </c>
      <c r="I17" s="50">
        <f>Assumption!I40/I$6</f>
        <v>320</v>
      </c>
      <c r="J17" s="50">
        <f>Assumption!J40/J$6</f>
        <v>400</v>
      </c>
      <c r="K17" s="50">
        <f>Assumption!K40/K$6</f>
        <v>400</v>
      </c>
      <c r="L17" s="50">
        <f>Assumption!L40/L$6</f>
        <v>400</v>
      </c>
      <c r="M17" s="51">
        <f>Assumption!M40/M$6</f>
        <v>400</v>
      </c>
    </row>
    <row r="18" spans="1:13" x14ac:dyDescent="0.3">
      <c r="A18" s="2"/>
      <c r="B18" s="40" t="s">
        <v>97</v>
      </c>
      <c r="C18" s="41" t="s">
        <v>98</v>
      </c>
      <c r="D18" s="50">
        <f>Assumption!D37/D$7</f>
        <v>83.333333333333329</v>
      </c>
      <c r="E18" s="50">
        <f>Assumption!E37/E$7</f>
        <v>83.333333333333329</v>
      </c>
      <c r="F18" s="50">
        <f>Assumption!F37/F$7</f>
        <v>133.33333333333334</v>
      </c>
      <c r="G18" s="50">
        <f>Assumption!G37/G$7</f>
        <v>133.33333333333334</v>
      </c>
      <c r="H18" s="50">
        <f>Assumption!H37/H$7</f>
        <v>200</v>
      </c>
      <c r="I18" s="50">
        <f>Assumption!I37/I$7</f>
        <v>200</v>
      </c>
      <c r="J18" s="50">
        <f>Assumption!J37/J$7</f>
        <v>366.66666666666669</v>
      </c>
      <c r="K18" s="50">
        <f>Assumption!K37/K$7</f>
        <v>400</v>
      </c>
      <c r="L18" s="50">
        <f>Assumption!L37/L$7</f>
        <v>366.66666666666669</v>
      </c>
      <c r="M18" s="51">
        <f>Assumption!M37/M$7</f>
        <v>400</v>
      </c>
    </row>
    <row r="19" spans="1:13" x14ac:dyDescent="0.3">
      <c r="A19" s="2"/>
      <c r="B19" s="40" t="s">
        <v>162</v>
      </c>
      <c r="C19" s="41" t="s">
        <v>98</v>
      </c>
      <c r="D19" s="50">
        <f>Assumption!D38/D$7</f>
        <v>16.666666666666668</v>
      </c>
      <c r="E19" s="50">
        <f>Assumption!E38/E$7</f>
        <v>16.666666666666668</v>
      </c>
      <c r="F19" s="50">
        <f>Assumption!F38/F$7</f>
        <v>21.666666666666668</v>
      </c>
      <c r="G19" s="50">
        <f>Assumption!G38/G$7</f>
        <v>21.666666666666668</v>
      </c>
      <c r="H19" s="50">
        <f>Assumption!H38/H$7</f>
        <v>26.666666666666668</v>
      </c>
      <c r="I19" s="50">
        <f>Assumption!I38/I$7</f>
        <v>26.666666666666668</v>
      </c>
      <c r="J19" s="50">
        <f>Assumption!J38/J$7</f>
        <v>33.333333333333336</v>
      </c>
      <c r="K19" s="50">
        <f>Assumption!K38/K$7</f>
        <v>33.333333333333336</v>
      </c>
      <c r="L19" s="50">
        <f>Assumption!L38/L$7</f>
        <v>33.333333333333336</v>
      </c>
      <c r="M19" s="51">
        <f>Assumption!M38/M$7</f>
        <v>33.333333333333336</v>
      </c>
    </row>
    <row r="20" spans="1:13" x14ac:dyDescent="0.3">
      <c r="A20" s="2"/>
      <c r="B20" s="40" t="s">
        <v>163</v>
      </c>
      <c r="C20" s="41" t="s">
        <v>98</v>
      </c>
      <c r="D20" s="50">
        <f>Assumption!D44/D$7</f>
        <v>190</v>
      </c>
      <c r="E20" s="50">
        <f>Assumption!E44/E$7</f>
        <v>274.4444444444444</v>
      </c>
      <c r="F20" s="50">
        <f>Assumption!F44/F$7</f>
        <v>401.11111111111109</v>
      </c>
      <c r="G20" s="50">
        <f>Assumption!G44/G$7</f>
        <v>548.8888888888888</v>
      </c>
      <c r="H20" s="50">
        <f>Assumption!H44/H$7</f>
        <v>612.22222222222217</v>
      </c>
      <c r="I20" s="50">
        <f>Assumption!I44/I$7</f>
        <v>781.1111111111112</v>
      </c>
      <c r="J20" s="50">
        <f>Assumption!J44/J$7</f>
        <v>865.55555555555554</v>
      </c>
      <c r="K20" s="50">
        <f>Assumption!K44/K$7</f>
        <v>971.11111111111109</v>
      </c>
      <c r="L20" s="50">
        <f>Assumption!L44/L$7</f>
        <v>865.55555555555554</v>
      </c>
      <c r="M20" s="51">
        <f>Assumption!M44/M$7</f>
        <v>971.11111111111109</v>
      </c>
    </row>
    <row r="21" spans="1:13" x14ac:dyDescent="0.3">
      <c r="A21" s="2"/>
      <c r="B21" s="79" t="s">
        <v>177</v>
      </c>
      <c r="C21" s="76" t="s">
        <v>93</v>
      </c>
      <c r="D21" s="80">
        <f>Assumption!D31</f>
        <v>0</v>
      </c>
      <c r="E21" s="80">
        <f>Assumption!E31</f>
        <v>240</v>
      </c>
      <c r="F21" s="80">
        <f>Assumption!F31</f>
        <v>0</v>
      </c>
      <c r="G21" s="80">
        <f>Assumption!G31</f>
        <v>240</v>
      </c>
      <c r="H21" s="80">
        <f>Assumption!H31</f>
        <v>0</v>
      </c>
      <c r="I21" s="80">
        <f>Assumption!I31</f>
        <v>240</v>
      </c>
      <c r="J21" s="80">
        <f>Assumption!J31</f>
        <v>0</v>
      </c>
      <c r="K21" s="80">
        <f>Assumption!K31</f>
        <v>354.46153846153845</v>
      </c>
      <c r="L21" s="80">
        <f>Assumption!L31</f>
        <v>0</v>
      </c>
      <c r="M21" s="81">
        <f>Assumption!M31</f>
        <v>354.46153846153845</v>
      </c>
    </row>
    <row r="22" spans="1:13" x14ac:dyDescent="0.3">
      <c r="A22" s="2"/>
      <c r="B22" s="46" t="s">
        <v>164</v>
      </c>
      <c r="C22" s="52" t="s">
        <v>48</v>
      </c>
      <c r="D22" s="53">
        <f t="shared" ref="D22:M22" si="0">SUM(D10:D21)</f>
        <v>3409.2</v>
      </c>
      <c r="E22" s="53">
        <f t="shared" si="0"/>
        <v>3733.6444444444442</v>
      </c>
      <c r="F22" s="53">
        <f t="shared" si="0"/>
        <v>6073.690058479533</v>
      </c>
      <c r="G22" s="53">
        <f t="shared" si="0"/>
        <v>6461.4678362573104</v>
      </c>
      <c r="H22" s="53">
        <f t="shared" si="0"/>
        <v>7275.1241830065355</v>
      </c>
      <c r="I22" s="53">
        <f t="shared" si="0"/>
        <v>7684.0130718954251</v>
      </c>
      <c r="J22" s="53">
        <f t="shared" si="0"/>
        <v>9481.5555555555547</v>
      </c>
      <c r="K22" s="53">
        <f t="shared" si="0"/>
        <v>9974.9059829059843</v>
      </c>
      <c r="L22" s="53">
        <f t="shared" si="0"/>
        <v>9481.5555555555547</v>
      </c>
      <c r="M22" s="54">
        <f t="shared" si="0"/>
        <v>9974.9059829059843</v>
      </c>
    </row>
    <row r="23" spans="1:13" ht="30" customHeight="1" x14ac:dyDescent="0.3">
      <c r="A23" s="2"/>
      <c r="B23" s="55" t="s">
        <v>100</v>
      </c>
      <c r="C23" s="56" t="s">
        <v>26</v>
      </c>
      <c r="D23" s="57">
        <f>IFERROR(D22/D$5,0)</f>
        <v>14.205</v>
      </c>
      <c r="E23" s="57">
        <f t="shared" ref="E23:M23" si="1">IFERROR(E22/E$5,0)</f>
        <v>15.556851851851851</v>
      </c>
      <c r="F23" s="57">
        <f t="shared" si="1"/>
        <v>25.307041910331389</v>
      </c>
      <c r="G23" s="57">
        <f t="shared" si="1"/>
        <v>26.922782651072126</v>
      </c>
      <c r="H23" s="57">
        <f t="shared" si="1"/>
        <v>30.313017429193899</v>
      </c>
      <c r="I23" s="57">
        <f t="shared" si="1"/>
        <v>32.016721132897608</v>
      </c>
      <c r="J23" s="57">
        <f t="shared" si="1"/>
        <v>39.50648148148148</v>
      </c>
      <c r="K23" s="57">
        <f t="shared" si="1"/>
        <v>41.562108262108268</v>
      </c>
      <c r="L23" s="57">
        <f t="shared" si="1"/>
        <v>39.50648148148148</v>
      </c>
      <c r="M23" s="58">
        <f t="shared" si="1"/>
        <v>41.562108262108268</v>
      </c>
    </row>
    <row r="24" spans="1:13" x14ac:dyDescent="0.3">
      <c r="A24" s="2"/>
      <c r="B24" s="40" t="s">
        <v>165</v>
      </c>
      <c r="C24" s="59" t="s">
        <v>59</v>
      </c>
      <c r="D24" s="60">
        <v>0.3</v>
      </c>
      <c r="E24" s="60">
        <v>0.3</v>
      </c>
      <c r="F24" s="60">
        <v>0.3</v>
      </c>
      <c r="G24" s="60">
        <v>0.3</v>
      </c>
      <c r="H24" s="60">
        <v>0.3</v>
      </c>
      <c r="I24" s="60">
        <v>0.3</v>
      </c>
      <c r="J24" s="60">
        <v>0.3</v>
      </c>
      <c r="K24" s="60">
        <v>0.3</v>
      </c>
      <c r="L24" s="60">
        <v>0.3</v>
      </c>
      <c r="M24" s="60">
        <v>0.3</v>
      </c>
    </row>
    <row r="25" spans="1:13" x14ac:dyDescent="0.3">
      <c r="A25" s="2"/>
      <c r="B25" s="40" t="s">
        <v>166</v>
      </c>
      <c r="C25" s="59" t="s">
        <v>48</v>
      </c>
      <c r="D25" s="61">
        <f>D22/(1-D24)-D22</f>
        <v>1461.0857142857149</v>
      </c>
      <c r="E25" s="61">
        <f t="shared" ref="E25:M25" si="2">E22/(1-E24)-E22</f>
        <v>1600.1333333333332</v>
      </c>
      <c r="F25" s="61">
        <f t="shared" si="2"/>
        <v>2603.0100250626583</v>
      </c>
      <c r="G25" s="61">
        <f t="shared" si="2"/>
        <v>2769.2005012531336</v>
      </c>
      <c r="H25" s="61">
        <f t="shared" si="2"/>
        <v>3117.9103641456586</v>
      </c>
      <c r="I25" s="61">
        <f t="shared" si="2"/>
        <v>3293.1484593837549</v>
      </c>
      <c r="J25" s="61">
        <f t="shared" si="2"/>
        <v>4063.5238095238092</v>
      </c>
      <c r="K25" s="61">
        <f t="shared" si="2"/>
        <v>4274.9597069597075</v>
      </c>
      <c r="L25" s="61">
        <f t="shared" si="2"/>
        <v>4063.5238095238092</v>
      </c>
      <c r="M25" s="62">
        <f t="shared" si="2"/>
        <v>4274.9597069597075</v>
      </c>
    </row>
    <row r="26" spans="1:13" x14ac:dyDescent="0.3">
      <c r="B26" s="63" t="s">
        <v>167</v>
      </c>
      <c r="C26" s="64" t="s">
        <v>48</v>
      </c>
      <c r="D26" s="65">
        <f>D22+D25</f>
        <v>4870.2857142857147</v>
      </c>
      <c r="E26" s="65">
        <f t="shared" ref="E26:M26" si="3">E22+E25</f>
        <v>5333.7777777777774</v>
      </c>
      <c r="F26" s="65">
        <f t="shared" si="3"/>
        <v>8676.7000835421914</v>
      </c>
      <c r="G26" s="65">
        <f t="shared" si="3"/>
        <v>9230.668337510444</v>
      </c>
      <c r="H26" s="65">
        <f t="shared" si="3"/>
        <v>10393.034547152194</v>
      </c>
      <c r="I26" s="65">
        <f t="shared" si="3"/>
        <v>10977.16153127918</v>
      </c>
      <c r="J26" s="65">
        <f t="shared" si="3"/>
        <v>13545.079365079364</v>
      </c>
      <c r="K26" s="65">
        <f t="shared" si="3"/>
        <v>14249.865689865692</v>
      </c>
      <c r="L26" s="65">
        <f t="shared" si="3"/>
        <v>13545.079365079364</v>
      </c>
      <c r="M26" s="65">
        <f t="shared" si="3"/>
        <v>14249.865689865692</v>
      </c>
    </row>
    <row r="27" spans="1:13" x14ac:dyDescent="0.3">
      <c r="B27" s="66" t="s">
        <v>168</v>
      </c>
      <c r="C27" s="67" t="s">
        <v>26</v>
      </c>
      <c r="D27" s="68">
        <f>IFERROR(D26/D$5,0)</f>
        <v>20.292857142857144</v>
      </c>
      <c r="E27" s="68">
        <f t="shared" ref="E27:M27" si="4">IFERROR(E26/E$5,0)</f>
        <v>22.224074074074071</v>
      </c>
      <c r="F27" s="68">
        <f t="shared" si="4"/>
        <v>36.152917014759133</v>
      </c>
      <c r="G27" s="68">
        <f t="shared" si="4"/>
        <v>38.461118072960183</v>
      </c>
      <c r="H27" s="68">
        <f t="shared" si="4"/>
        <v>43.304310613134142</v>
      </c>
      <c r="I27" s="68">
        <f t="shared" si="4"/>
        <v>45.738173046996586</v>
      </c>
      <c r="J27" s="68">
        <f t="shared" si="4"/>
        <v>56.437830687830683</v>
      </c>
      <c r="K27" s="68">
        <f t="shared" si="4"/>
        <v>59.374440374440383</v>
      </c>
      <c r="L27" s="68">
        <f t="shared" si="4"/>
        <v>56.437830687830683</v>
      </c>
      <c r="M27" s="68">
        <f t="shared" si="4"/>
        <v>59.374440374440383</v>
      </c>
    </row>
    <row r="29" spans="1:13" x14ac:dyDescent="0.3">
      <c r="B29" s="4" t="s">
        <v>101</v>
      </c>
    </row>
    <row r="30" spans="1:13" x14ac:dyDescent="0.3">
      <c r="B30" s="4" t="s">
        <v>169</v>
      </c>
    </row>
    <row r="31" spans="1:13" x14ac:dyDescent="0.3">
      <c r="B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CB36-55C8-4BBD-89C7-18768A10D92F}">
  <dimension ref="A1:G8"/>
  <sheetViews>
    <sheetView zoomScale="190" zoomScaleNormal="190" workbookViewId="0">
      <selection activeCell="B6" sqref="B6:B8"/>
    </sheetView>
  </sheetViews>
  <sheetFormatPr defaultRowHeight="14.4" x14ac:dyDescent="0.3"/>
  <cols>
    <col min="1" max="1" width="11.44140625" bestFit="1" customWidth="1"/>
    <col min="7" max="7" width="22.21875" bestFit="1" customWidth="1"/>
    <col min="11" max="11" width="9.5546875" bestFit="1" customWidth="1"/>
  </cols>
  <sheetData>
    <row r="1" spans="1:7" x14ac:dyDescent="0.3">
      <c r="A1" t="s">
        <v>208</v>
      </c>
    </row>
    <row r="2" spans="1:7" x14ac:dyDescent="0.3">
      <c r="A2" t="s">
        <v>209</v>
      </c>
    </row>
    <row r="3" spans="1:7" x14ac:dyDescent="0.3">
      <c r="A3" t="s">
        <v>210</v>
      </c>
    </row>
    <row r="5" spans="1:7" x14ac:dyDescent="0.3">
      <c r="C5" t="s">
        <v>0</v>
      </c>
      <c r="D5" t="s">
        <v>1</v>
      </c>
      <c r="E5" t="s">
        <v>2</v>
      </c>
      <c r="F5" t="s">
        <v>214</v>
      </c>
      <c r="G5" t="s">
        <v>216</v>
      </c>
    </row>
    <row r="6" spans="1:7" x14ac:dyDescent="0.3">
      <c r="A6" t="s">
        <v>215</v>
      </c>
      <c r="B6" t="s">
        <v>211</v>
      </c>
      <c r="G6" t="s">
        <v>217</v>
      </c>
    </row>
    <row r="7" spans="1:7" x14ac:dyDescent="0.3">
      <c r="B7" t="s">
        <v>212</v>
      </c>
      <c r="G7" t="s">
        <v>218</v>
      </c>
    </row>
    <row r="8" spans="1:7" x14ac:dyDescent="0.3">
      <c r="B8" t="s">
        <v>213</v>
      </c>
      <c r="G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PP_CleanTopic</vt:lpstr>
      <vt:lpstr>Assumption</vt:lpstr>
      <vt:lpstr>Summary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Paniti Nimitpanya</dc:creator>
  <cp:lastModifiedBy>NARONGKORN KITRUNGROT</cp:lastModifiedBy>
  <dcterms:created xsi:type="dcterms:W3CDTF">2026-08-05T08:19:06Z</dcterms:created>
  <dcterms:modified xsi:type="dcterms:W3CDTF">2026-09-26T03:46:15Z</dcterms:modified>
</cp:coreProperties>
</file>